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ribolia.sharepoint.cn/sites/RDCenter/Shared Documents/Publication Committee/FXI-RBD4059/data_analysis_abeer/"/>
    </mc:Choice>
  </mc:AlternateContent>
  <xr:revisionPtr revIDLastSave="0" documentId="13_ncr:1_{A6C02523-29DF-40FB-A990-EE8ACE931C80}" xr6:coauthVersionLast="47" xr6:coauthVersionMax="47" xr10:uidLastSave="{00000000-0000-0000-0000-000000000000}"/>
  <bookViews>
    <workbookView xWindow="4275" yWindow="6015" windowWidth="23325" windowHeight="13223" xr2:uid="{00000000-000D-0000-FFFF-FFFF00000000}"/>
  </bookViews>
  <sheets>
    <sheet name="统计与分析-APTT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7" l="1"/>
  <c r="H135" i="7"/>
  <c r="H132" i="7"/>
  <c r="H133" i="7"/>
  <c r="H134" i="7"/>
  <c r="F63" i="7" l="1"/>
  <c r="H126" i="7" l="1"/>
  <c r="H109" i="7"/>
  <c r="H163" i="7" l="1"/>
  <c r="H159" i="7"/>
  <c r="H158" i="7"/>
  <c r="H141" i="7"/>
  <c r="H124" i="7"/>
  <c r="H90" i="7"/>
  <c r="F143" i="7" l="1"/>
  <c r="G143" i="7"/>
  <c r="H105" i="7"/>
  <c r="H108" i="7" l="1"/>
  <c r="H107" i="7"/>
  <c r="H164" i="7" l="1"/>
  <c r="H142" i="7"/>
  <c r="H136" i="7"/>
  <c r="H137" i="7"/>
  <c r="H125" i="7"/>
  <c r="H91" i="7"/>
  <c r="H69" i="7" l="1"/>
  <c r="H162" i="7" l="1"/>
  <c r="H161" i="7"/>
  <c r="H160" i="7"/>
  <c r="G160" i="7"/>
  <c r="F160" i="7"/>
  <c r="H157" i="7"/>
  <c r="H156" i="7"/>
  <c r="H155" i="7"/>
  <c r="G155" i="7"/>
  <c r="F155" i="7"/>
  <c r="H154" i="7"/>
  <c r="H153" i="7"/>
  <c r="H152" i="7"/>
  <c r="H151" i="7"/>
  <c r="H150" i="7"/>
  <c r="H149" i="7"/>
  <c r="G149" i="7"/>
  <c r="F149" i="7"/>
  <c r="H148" i="7"/>
  <c r="H147" i="7"/>
  <c r="H146" i="7"/>
  <c r="H145" i="7"/>
  <c r="H144" i="7"/>
  <c r="H143" i="7"/>
  <c r="H140" i="7"/>
  <c r="H139" i="7"/>
  <c r="H138" i="7"/>
  <c r="G138" i="7"/>
  <c r="F138" i="7"/>
  <c r="I132" i="7"/>
  <c r="G132" i="7"/>
  <c r="F132" i="7"/>
  <c r="H131" i="7"/>
  <c r="H130" i="7"/>
  <c r="H129" i="7"/>
  <c r="H128" i="7"/>
  <c r="H127" i="7"/>
  <c r="G126" i="7"/>
  <c r="F126" i="7"/>
  <c r="H123" i="7"/>
  <c r="H122" i="7"/>
  <c r="H121" i="7"/>
  <c r="G121" i="7"/>
  <c r="F121" i="7"/>
  <c r="H120" i="7"/>
  <c r="H119" i="7"/>
  <c r="H118" i="7"/>
  <c r="H117" i="7"/>
  <c r="H116" i="7"/>
  <c r="H115" i="7"/>
  <c r="G115" i="7"/>
  <c r="F115" i="7"/>
  <c r="H114" i="7"/>
  <c r="H113" i="7"/>
  <c r="H112" i="7"/>
  <c r="H111" i="7"/>
  <c r="H110" i="7"/>
  <c r="G109" i="7"/>
  <c r="F109" i="7"/>
  <c r="H106" i="7"/>
  <c r="H104" i="7"/>
  <c r="G104" i="7"/>
  <c r="F104" i="7"/>
  <c r="H103" i="7"/>
  <c r="H102" i="7"/>
  <c r="H101" i="7"/>
  <c r="H100" i="7"/>
  <c r="H99" i="7"/>
  <c r="H98" i="7"/>
  <c r="G98" i="7"/>
  <c r="F98" i="7"/>
  <c r="H97" i="7"/>
  <c r="H96" i="7"/>
  <c r="H95" i="7"/>
  <c r="H94" i="7"/>
  <c r="H93" i="7"/>
  <c r="H92" i="7"/>
  <c r="G92" i="7"/>
  <c r="F92" i="7"/>
  <c r="H89" i="7"/>
  <c r="H88" i="7"/>
  <c r="H87" i="7"/>
  <c r="G87" i="7"/>
  <c r="F87" i="7"/>
  <c r="H86" i="7"/>
  <c r="H85" i="7"/>
  <c r="H84" i="7"/>
  <c r="H83" i="7"/>
  <c r="H82" i="7"/>
  <c r="H81" i="7"/>
  <c r="G81" i="7"/>
  <c r="F81" i="7"/>
  <c r="H80" i="7"/>
  <c r="H79" i="7"/>
  <c r="H78" i="7"/>
  <c r="H77" i="7"/>
  <c r="H76" i="7"/>
  <c r="H75" i="7"/>
  <c r="G75" i="7"/>
  <c r="F75" i="7"/>
  <c r="H74" i="7"/>
  <c r="H73" i="7"/>
  <c r="H72" i="7"/>
  <c r="H71" i="7"/>
  <c r="H70" i="7"/>
  <c r="G69" i="7"/>
  <c r="F69" i="7"/>
  <c r="H68" i="7"/>
  <c r="H67" i="7"/>
  <c r="H65" i="7"/>
  <c r="H64" i="7"/>
  <c r="H63" i="7"/>
  <c r="G63" i="7"/>
  <c r="H62" i="7"/>
  <c r="H61" i="7"/>
  <c r="H60" i="7"/>
  <c r="H59" i="7"/>
  <c r="H58" i="7"/>
  <c r="H57" i="7"/>
  <c r="G57" i="7"/>
  <c r="F57" i="7"/>
  <c r="H56" i="7"/>
  <c r="H55" i="7"/>
  <c r="H54" i="7"/>
  <c r="H53" i="7"/>
  <c r="H52" i="7"/>
  <c r="H51" i="7"/>
  <c r="G51" i="7"/>
  <c r="F51" i="7"/>
  <c r="H50" i="7"/>
  <c r="H49" i="7"/>
  <c r="H48" i="7"/>
  <c r="H47" i="7"/>
  <c r="H46" i="7"/>
  <c r="H45" i="7"/>
  <c r="G45" i="7"/>
  <c r="F45" i="7"/>
  <c r="H44" i="7"/>
  <c r="H43" i="7"/>
  <c r="H42" i="7"/>
  <c r="H41" i="7"/>
  <c r="H40" i="7"/>
  <c r="H39" i="7"/>
  <c r="G39" i="7"/>
  <c r="F39" i="7"/>
  <c r="H38" i="7"/>
  <c r="H25" i="7"/>
  <c r="H24" i="7"/>
  <c r="H23" i="7"/>
  <c r="H22" i="7"/>
  <c r="H21" i="7"/>
  <c r="H37" i="7"/>
  <c r="H36" i="7"/>
  <c r="H35" i="7"/>
  <c r="H34" i="7"/>
  <c r="H33" i="7"/>
  <c r="G33" i="7"/>
  <c r="F33" i="7"/>
  <c r="H32" i="7"/>
  <c r="H31" i="7"/>
  <c r="H30" i="7"/>
  <c r="H29" i="7"/>
  <c r="H28" i="7"/>
  <c r="H27" i="7"/>
  <c r="G27" i="7"/>
  <c r="F27" i="7"/>
  <c r="H26" i="7"/>
  <c r="G21" i="7"/>
  <c r="F21" i="7"/>
  <c r="H15" i="7"/>
  <c r="H16" i="7"/>
  <c r="H17" i="7"/>
  <c r="H18" i="7"/>
  <c r="H19" i="7"/>
  <c r="H20" i="7"/>
  <c r="H14" i="7"/>
  <c r="H13" i="7"/>
  <c r="H12" i="7"/>
  <c r="H11" i="7"/>
  <c r="H10" i="7"/>
  <c r="H9" i="7"/>
  <c r="H8" i="7"/>
  <c r="H7" i="7"/>
  <c r="H6" i="7"/>
  <c r="H5" i="7"/>
  <c r="H3" i="7"/>
  <c r="I115" i="7" l="1"/>
  <c r="J63" i="7"/>
  <c r="I63" i="7"/>
  <c r="J132" i="7"/>
  <c r="I143" i="7"/>
  <c r="I160" i="7"/>
  <c r="I149" i="7"/>
  <c r="I126" i="7"/>
  <c r="I138" i="7"/>
  <c r="I109" i="7"/>
  <c r="I121" i="7"/>
  <c r="I92" i="7"/>
  <c r="I98" i="7"/>
  <c r="I104" i="7"/>
  <c r="I155" i="7"/>
  <c r="I51" i="7"/>
  <c r="I75" i="7"/>
  <c r="I87" i="7"/>
  <c r="I81" i="7"/>
  <c r="I69" i="7"/>
  <c r="I57" i="7"/>
  <c r="I45" i="7"/>
  <c r="I39" i="7"/>
  <c r="J160" i="7"/>
  <c r="J143" i="7"/>
  <c r="J149" i="7"/>
  <c r="J155" i="7"/>
  <c r="J126" i="7"/>
  <c r="J138" i="7"/>
  <c r="J109" i="7"/>
  <c r="J115" i="7"/>
  <c r="J121" i="7"/>
  <c r="J92" i="7"/>
  <c r="J98" i="7"/>
  <c r="J104" i="7"/>
  <c r="J75" i="7"/>
  <c r="J81" i="7"/>
  <c r="J87" i="7"/>
  <c r="J57" i="7"/>
  <c r="J69" i="7"/>
  <c r="J39" i="7"/>
  <c r="J45" i="7"/>
  <c r="J51" i="7"/>
  <c r="I33" i="7"/>
  <c r="I27" i="7"/>
  <c r="I21" i="7"/>
  <c r="J21" i="7"/>
  <c r="J27" i="7"/>
  <c r="J33" i="7"/>
  <c r="H4" i="7"/>
  <c r="J3" i="7" s="1"/>
  <c r="I3" i="7" l="1"/>
  <c r="I15" i="7" l="1"/>
  <c r="I9" i="7"/>
  <c r="J9" i="7"/>
  <c r="J15" i="7" l="1"/>
  <c r="G15" i="7"/>
  <c r="G9" i="7"/>
  <c r="F15" i="7"/>
  <c r="F9" i="7"/>
  <c r="G3" i="7"/>
  <c r="F3" i="7"/>
</calcChain>
</file>

<file path=xl/sharedStrings.xml><?xml version="1.0" encoding="utf-8"?>
<sst xmlns="http://schemas.openxmlformats.org/spreadsheetml/2006/main" count="211" uniqueCount="39">
  <si>
    <t>SD</t>
    <phoneticPr fontId="18" type="noConversion"/>
  </si>
  <si>
    <r>
      <rPr>
        <sz val="12"/>
        <rFont val="宋体"/>
        <family val="3"/>
        <charset val="134"/>
      </rPr>
      <t>组别</t>
    </r>
    <phoneticPr fontId="18" type="noConversion"/>
  </si>
  <si>
    <r>
      <rPr>
        <sz val="12"/>
        <rFont val="宋体"/>
        <family val="3"/>
        <charset val="134"/>
      </rPr>
      <t>剂量（</t>
    </r>
    <r>
      <rPr>
        <sz val="12"/>
        <rFont val="Times New Roman"/>
        <family val="1"/>
      </rPr>
      <t>mg/kg</t>
    </r>
    <r>
      <rPr>
        <sz val="12"/>
        <rFont val="宋体"/>
        <family val="3"/>
        <charset val="134"/>
      </rPr>
      <t>）</t>
    </r>
    <phoneticPr fontId="18" type="noConversion"/>
  </si>
  <si>
    <r>
      <rPr>
        <sz val="12"/>
        <rFont val="宋体"/>
        <family val="3"/>
        <charset val="134"/>
      </rPr>
      <t>取材时间</t>
    </r>
    <phoneticPr fontId="18" type="noConversion"/>
  </si>
  <si>
    <r>
      <rPr>
        <sz val="12"/>
        <rFont val="宋体"/>
        <family val="3"/>
        <charset val="134"/>
      </rPr>
      <t>动物编号</t>
    </r>
    <phoneticPr fontId="18" type="noConversion"/>
  </si>
  <si>
    <r>
      <t>APTT</t>
    </r>
    <r>
      <rPr>
        <sz val="12"/>
        <rFont val="宋体"/>
        <family val="3"/>
        <charset val="134"/>
      </rPr>
      <t>时间（</t>
    </r>
    <r>
      <rPr>
        <sz val="12"/>
        <rFont val="Times New Roman"/>
        <family val="1"/>
      </rPr>
      <t>s</t>
    </r>
    <r>
      <rPr>
        <sz val="12"/>
        <rFont val="宋体"/>
        <family val="3"/>
        <charset val="134"/>
      </rPr>
      <t>）</t>
    </r>
    <phoneticPr fontId="18" type="noConversion"/>
  </si>
  <si>
    <r>
      <rPr>
        <sz val="12"/>
        <rFont val="宋体"/>
        <family val="3"/>
        <charset val="134"/>
      </rPr>
      <t>均值</t>
    </r>
    <phoneticPr fontId="18" type="noConversion"/>
  </si>
  <si>
    <r>
      <rPr>
        <sz val="12"/>
        <rFont val="宋体"/>
        <family val="3"/>
        <charset val="134"/>
      </rPr>
      <t>倍数</t>
    </r>
    <phoneticPr fontId="18" type="noConversion"/>
  </si>
  <si>
    <r>
      <rPr>
        <sz val="12"/>
        <rFont val="宋体"/>
        <family val="3"/>
        <charset val="134"/>
      </rPr>
      <t>倍数均值</t>
    </r>
    <phoneticPr fontId="18" type="noConversion"/>
  </si>
  <si>
    <t>RBD4059</t>
    <phoneticPr fontId="18" type="noConversion"/>
  </si>
  <si>
    <t>C2001</t>
    <phoneticPr fontId="18" type="noConversion"/>
  </si>
  <si>
    <t>C2002</t>
  </si>
  <si>
    <t>C2003</t>
  </si>
  <si>
    <t>C2501</t>
    <phoneticPr fontId="18" type="noConversion"/>
  </si>
  <si>
    <t>C2502</t>
  </si>
  <si>
    <t>C2503</t>
  </si>
  <si>
    <t>C3001</t>
    <phoneticPr fontId="18" type="noConversion"/>
  </si>
  <si>
    <t>C3002</t>
    <phoneticPr fontId="18" type="noConversion"/>
  </si>
  <si>
    <t>C3003</t>
    <phoneticPr fontId="18" type="noConversion"/>
  </si>
  <si>
    <t>C3501</t>
    <phoneticPr fontId="18" type="noConversion"/>
  </si>
  <si>
    <t>C3502</t>
    <phoneticPr fontId="18" type="noConversion"/>
  </si>
  <si>
    <t>C3503</t>
    <phoneticPr fontId="18" type="noConversion"/>
  </si>
  <si>
    <t>C4001</t>
    <phoneticPr fontId="18" type="noConversion"/>
  </si>
  <si>
    <t>C4002</t>
    <phoneticPr fontId="18" type="noConversion"/>
  </si>
  <si>
    <t>C4003</t>
    <phoneticPr fontId="18" type="noConversion"/>
  </si>
  <si>
    <t>C4501</t>
    <phoneticPr fontId="18" type="noConversion"/>
  </si>
  <si>
    <t>C4502</t>
    <phoneticPr fontId="18" type="noConversion"/>
  </si>
  <si>
    <t>C4503</t>
    <phoneticPr fontId="18" type="noConversion"/>
  </si>
  <si>
    <t>pre-dose(0h)</t>
    <phoneticPr fontId="18" type="noConversion"/>
  </si>
  <si>
    <t>D15(336h)</t>
    <phoneticPr fontId="18" type="noConversion"/>
  </si>
  <si>
    <t>D29(672h)</t>
    <phoneticPr fontId="18" type="noConversion"/>
  </si>
  <si>
    <t>D43(1008h)</t>
    <phoneticPr fontId="18" type="noConversion"/>
  </si>
  <si>
    <t>D57(1344h)</t>
    <phoneticPr fontId="18" type="noConversion"/>
  </si>
  <si>
    <t>D71(1680h)</t>
    <phoneticPr fontId="18" type="noConversion"/>
  </si>
  <si>
    <t>D85(2016h)</t>
    <phoneticPr fontId="18" type="noConversion"/>
  </si>
  <si>
    <t>D113(2688h)</t>
    <phoneticPr fontId="18" type="noConversion"/>
  </si>
  <si>
    <t>D2(24h)</t>
    <phoneticPr fontId="18" type="noConversion"/>
  </si>
  <si>
    <t>D8(168h)</t>
    <phoneticPr fontId="18" type="noConversion"/>
  </si>
  <si>
    <r>
      <rPr>
        <sz val="12"/>
        <rFont val="宋体"/>
        <family val="1"/>
        <charset val="134"/>
      </rPr>
      <t>注：每只动物均与各自的</t>
    </r>
    <r>
      <rPr>
        <sz val="12"/>
        <rFont val="Times New Roman"/>
        <family val="1"/>
      </rPr>
      <t>pre-dose(0h)</t>
    </r>
    <r>
      <rPr>
        <sz val="12"/>
        <rFont val="宋体"/>
        <family val="1"/>
        <charset val="134"/>
      </rPr>
      <t>进行比较，由于第</t>
    </r>
    <r>
      <rPr>
        <sz val="12"/>
        <rFont val="Times New Roman"/>
        <family val="1"/>
      </rPr>
      <t>4</t>
    </r>
    <r>
      <rPr>
        <sz val="12"/>
        <rFont val="宋体"/>
        <family val="1"/>
        <charset val="134"/>
      </rPr>
      <t>组</t>
    </r>
    <r>
      <rPr>
        <sz val="12"/>
        <rFont val="Times New Roman"/>
        <family val="1"/>
      </rPr>
      <t>C4501</t>
    </r>
    <r>
      <rPr>
        <sz val="12"/>
        <rFont val="宋体"/>
        <family val="1"/>
        <charset val="134"/>
      </rPr>
      <t>动物试验中死亡，第</t>
    </r>
    <r>
      <rPr>
        <sz val="12"/>
        <rFont val="Times New Roman"/>
        <family val="1"/>
      </rPr>
      <t>4</t>
    </r>
    <r>
      <rPr>
        <sz val="12"/>
        <rFont val="宋体"/>
        <family val="1"/>
        <charset val="134"/>
      </rPr>
      <t>组在</t>
    </r>
    <r>
      <rPr>
        <sz val="12"/>
        <rFont val="Times New Roman"/>
        <family val="1"/>
      </rPr>
      <t>D29</t>
    </r>
    <r>
      <rPr>
        <sz val="12"/>
        <rFont val="宋体"/>
        <family val="1"/>
        <charset val="134"/>
      </rPr>
      <t>至</t>
    </r>
    <r>
      <rPr>
        <sz val="12"/>
        <rFont val="Times New Roman"/>
        <family val="1"/>
      </rPr>
      <t>D113</t>
    </r>
    <r>
      <rPr>
        <sz val="12"/>
        <rFont val="宋体"/>
        <family val="1"/>
        <charset val="134"/>
      </rPr>
      <t>时间点</t>
    </r>
    <r>
      <rPr>
        <sz val="12"/>
        <rFont val="Times New Roman"/>
        <family val="1"/>
      </rPr>
      <t>n=5</t>
    </r>
    <r>
      <rPr>
        <sz val="12"/>
        <rFont val="宋体"/>
        <family val="1"/>
        <charset val="134"/>
      </rPr>
      <t>，其余组均</t>
    </r>
    <r>
      <rPr>
        <sz val="12"/>
        <rFont val="Times New Roman"/>
        <family val="1"/>
      </rPr>
      <t>n=6</t>
    </r>
    <r>
      <rPr>
        <sz val="12"/>
        <rFont val="宋体"/>
        <family val="1"/>
        <charset val="134"/>
      </rPr>
      <t>。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</si>
</sst>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2"/>
      <name val="宋体"/>
      <charset val="134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name val="宋体"/>
      <family val="1"/>
      <charset val="134"/>
    </font>
    <font>
      <sz val="12"/>
      <name val="Times New Roman"/>
      <family val="1"/>
      <charset val="134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5" fillId="0" borderId="0"/>
  </cellStyleXfs>
  <cellXfs count="19">
    <xf numFmtId="0" fontId="0" fillId="0" borderId="0" xfId="0">
      <alignment vertical="center"/>
    </xf>
    <xf numFmtId="0" fontId="21" fillId="0" borderId="0" xfId="0" applyFont="1">
      <alignment vertical="center"/>
    </xf>
    <xf numFmtId="164" fontId="21" fillId="0" borderId="11" xfId="0" applyNumberFormat="1" applyFont="1" applyBorder="1" applyAlignment="1">
      <alignment horizontal="center" vertical="center"/>
    </xf>
    <xf numFmtId="49" fontId="21" fillId="0" borderId="0" xfId="0" applyNumberFormat="1" applyFont="1">
      <alignment vertical="center"/>
    </xf>
    <xf numFmtId="49" fontId="21" fillId="0" borderId="11" xfId="0" applyNumberFormat="1" applyFont="1" applyBorder="1" applyAlignment="1">
      <alignment horizontal="center" vertical="center"/>
    </xf>
    <xf numFmtId="2" fontId="21" fillId="0" borderId="11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49" fontId="21" fillId="34" borderId="11" xfId="0" applyNumberFormat="1" applyFont="1" applyFill="1" applyBorder="1" applyAlignment="1">
      <alignment horizontal="center" vertical="center"/>
    </xf>
    <xf numFmtId="164" fontId="21" fillId="34" borderId="11" xfId="0" applyNumberFormat="1" applyFont="1" applyFill="1" applyBorder="1" applyAlignment="1">
      <alignment horizontal="center" vertical="center"/>
    </xf>
    <xf numFmtId="2" fontId="22" fillId="0" borderId="11" xfId="0" applyNumberFormat="1" applyFont="1" applyBorder="1" applyAlignment="1">
      <alignment horizontal="center" vertical="center"/>
    </xf>
    <xf numFmtId="2" fontId="21" fillId="0" borderId="11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/>
    </xf>
    <xf numFmtId="49" fontId="21" fillId="33" borderId="11" xfId="0" applyNumberFormat="1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left" vertic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6" xr:uid="{00000000-0005-0000-0000-000012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常规 2" xfId="42" xr:uid="{00000000-0005-0000-0000-00001D000000}"/>
    <cellStyle name="常规 20" xfId="43" xr:uid="{00000000-0005-0000-0000-00001E000000}"/>
    <cellStyle name="常规 31" xfId="44" xr:uid="{00000000-0005-0000-0000-00001F000000}"/>
    <cellStyle name="常规 4" xfId="45" xr:uid="{00000000-0005-0000-0000-000020000000}"/>
  </cellStyles>
  <dxfs count="0"/>
  <tableStyles count="0" defaultTableStyle="TableStyleMedium2" defaultPivotStyle="PivotStyleLight16"/>
  <colors>
    <mruColors>
      <color rgb="FFFF0066"/>
      <color rgb="FF66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65"/>
  <sheetViews>
    <sheetView tabSelected="1" zoomScale="55" zoomScaleNormal="55" workbookViewId="0">
      <pane xSplit="3" ySplit="2" topLeftCell="D87" activePane="bottomRight" state="frozen"/>
      <selection pane="topRight" activeCell="D1" sqref="D1"/>
      <selection pane="bottomLeft" activeCell="A3" sqref="A3"/>
      <selection pane="bottomRight" activeCell="T16" sqref="T16"/>
    </sheetView>
  </sheetViews>
  <sheetFormatPr defaultColWidth="9" defaultRowHeight="15.4"/>
  <cols>
    <col min="1" max="1" width="11.5" style="1" bestFit="1" customWidth="1"/>
    <col min="2" max="2" width="11.5" style="1" customWidth="1"/>
    <col min="3" max="3" width="15.0625" style="6" bestFit="1" customWidth="1"/>
    <col min="4" max="4" width="10.75" style="3" bestFit="1" customWidth="1"/>
    <col min="5" max="5" width="17.8125" style="1" bestFit="1" customWidth="1"/>
    <col min="6" max="6" width="7.5625" style="1" bestFit="1" customWidth="1"/>
    <col min="7" max="7" width="6.5" style="1" bestFit="1" customWidth="1"/>
    <col min="8" max="8" width="6.75" style="1" bestFit="1" customWidth="1"/>
    <col min="9" max="9" width="10.75" style="1" bestFit="1" customWidth="1"/>
    <col min="10" max="10" width="6.5" style="1" bestFit="1" customWidth="1"/>
    <col min="11" max="16384" width="9" style="1"/>
  </cols>
  <sheetData>
    <row r="1" spans="1:10" ht="15.75" customHeight="1">
      <c r="A1" s="14" t="s">
        <v>1</v>
      </c>
      <c r="B1" s="15" t="s">
        <v>2</v>
      </c>
      <c r="C1" s="16" t="s">
        <v>3</v>
      </c>
      <c r="D1" s="14" t="s">
        <v>4</v>
      </c>
      <c r="E1" s="13" t="s">
        <v>5</v>
      </c>
      <c r="F1" s="13" t="s">
        <v>6</v>
      </c>
      <c r="G1" s="13" t="s">
        <v>0</v>
      </c>
      <c r="H1" s="13" t="s">
        <v>7</v>
      </c>
      <c r="I1" s="13" t="s">
        <v>8</v>
      </c>
      <c r="J1" s="13" t="s">
        <v>0</v>
      </c>
    </row>
    <row r="2" spans="1:10">
      <c r="A2" s="14"/>
      <c r="B2" s="15"/>
      <c r="C2" s="17"/>
      <c r="D2" s="14"/>
      <c r="E2" s="13"/>
      <c r="F2" s="13"/>
      <c r="G2" s="13"/>
      <c r="H2" s="13"/>
      <c r="I2" s="13"/>
      <c r="J2" s="13"/>
    </row>
    <row r="3" spans="1:10">
      <c r="A3" s="11" t="s">
        <v>9</v>
      </c>
      <c r="B3" s="11">
        <v>1</v>
      </c>
      <c r="C3" s="12" t="s">
        <v>28</v>
      </c>
      <c r="D3" s="4" t="s">
        <v>10</v>
      </c>
      <c r="E3" s="2">
        <v>28.3</v>
      </c>
      <c r="F3" s="10">
        <f>AVERAGE(E3:E8)</f>
        <v>26.383333333333336</v>
      </c>
      <c r="G3" s="10">
        <f>STDEV(E3:E8)</f>
        <v>3.3108407794194328</v>
      </c>
      <c r="H3" s="5">
        <f>E3/$E$3</f>
        <v>1</v>
      </c>
      <c r="I3" s="10">
        <f>AVERAGE(H3:H8)</f>
        <v>1</v>
      </c>
      <c r="J3" s="10">
        <f>STDEV(H3:H8)</f>
        <v>0</v>
      </c>
    </row>
    <row r="4" spans="1:10">
      <c r="A4" s="11"/>
      <c r="B4" s="11"/>
      <c r="C4" s="12"/>
      <c r="D4" s="4" t="s">
        <v>11</v>
      </c>
      <c r="E4" s="2">
        <v>29.3</v>
      </c>
      <c r="F4" s="10"/>
      <c r="G4" s="10"/>
      <c r="H4" s="5">
        <f>E4/$E$4</f>
        <v>1</v>
      </c>
      <c r="I4" s="10"/>
      <c r="J4" s="10"/>
    </row>
    <row r="5" spans="1:10">
      <c r="A5" s="11"/>
      <c r="B5" s="11"/>
      <c r="C5" s="12"/>
      <c r="D5" s="4" t="s">
        <v>12</v>
      </c>
      <c r="E5" s="2">
        <v>28.9</v>
      </c>
      <c r="F5" s="10"/>
      <c r="G5" s="10"/>
      <c r="H5" s="5">
        <f>E5/$E$5</f>
        <v>1</v>
      </c>
      <c r="I5" s="10"/>
      <c r="J5" s="10"/>
    </row>
    <row r="6" spans="1:10">
      <c r="A6" s="11"/>
      <c r="B6" s="11"/>
      <c r="C6" s="12"/>
      <c r="D6" s="4" t="s">
        <v>13</v>
      </c>
      <c r="E6" s="2">
        <v>26.2</v>
      </c>
      <c r="F6" s="10"/>
      <c r="G6" s="10"/>
      <c r="H6" s="5">
        <f>E6/$E$6</f>
        <v>1</v>
      </c>
      <c r="I6" s="10"/>
      <c r="J6" s="10"/>
    </row>
    <row r="7" spans="1:10">
      <c r="A7" s="11"/>
      <c r="B7" s="11"/>
      <c r="C7" s="12"/>
      <c r="D7" s="4" t="s">
        <v>14</v>
      </c>
      <c r="E7" s="2">
        <v>25.1</v>
      </c>
      <c r="F7" s="10"/>
      <c r="G7" s="10"/>
      <c r="H7" s="5">
        <f>E7/$E$7</f>
        <v>1</v>
      </c>
      <c r="I7" s="10"/>
      <c r="J7" s="10"/>
    </row>
    <row r="8" spans="1:10">
      <c r="A8" s="11"/>
      <c r="B8" s="11"/>
      <c r="C8" s="12"/>
      <c r="D8" s="4" t="s">
        <v>15</v>
      </c>
      <c r="E8" s="2">
        <v>20.5</v>
      </c>
      <c r="F8" s="10"/>
      <c r="G8" s="10"/>
      <c r="H8" s="5">
        <f>E8/$E$8</f>
        <v>1</v>
      </c>
      <c r="I8" s="10"/>
      <c r="J8" s="10"/>
    </row>
    <row r="9" spans="1:10">
      <c r="A9" s="11" t="s">
        <v>9</v>
      </c>
      <c r="B9" s="11">
        <v>3</v>
      </c>
      <c r="C9" s="12"/>
      <c r="D9" s="4" t="s">
        <v>16</v>
      </c>
      <c r="E9" s="2">
        <v>24.2</v>
      </c>
      <c r="F9" s="10">
        <f>AVERAGE(E9:E14)</f>
        <v>26.150000000000002</v>
      </c>
      <c r="G9" s="10">
        <f>STDEV(E9:E14)</f>
        <v>4.2098693566427876</v>
      </c>
      <c r="H9" s="5">
        <f>E9/$E$9</f>
        <v>1</v>
      </c>
      <c r="I9" s="10">
        <f>AVERAGE(H9:H14)</f>
        <v>1</v>
      </c>
      <c r="J9" s="10">
        <f>STDEV(H9:H14)</f>
        <v>0</v>
      </c>
    </row>
    <row r="10" spans="1:10">
      <c r="A10" s="11"/>
      <c r="B10" s="11"/>
      <c r="C10" s="12"/>
      <c r="D10" s="4" t="s">
        <v>17</v>
      </c>
      <c r="E10" s="2">
        <v>23.7</v>
      </c>
      <c r="F10" s="10"/>
      <c r="G10" s="10"/>
      <c r="H10" s="5">
        <f>E10/$E$10</f>
        <v>1</v>
      </c>
      <c r="I10" s="10"/>
      <c r="J10" s="10"/>
    </row>
    <row r="11" spans="1:10">
      <c r="A11" s="11"/>
      <c r="B11" s="11"/>
      <c r="C11" s="12"/>
      <c r="D11" s="4" t="s">
        <v>18</v>
      </c>
      <c r="E11" s="2">
        <v>21.4</v>
      </c>
      <c r="F11" s="10"/>
      <c r="G11" s="10"/>
      <c r="H11" s="5">
        <f>E11/$E$11</f>
        <v>1</v>
      </c>
      <c r="I11" s="10"/>
      <c r="J11" s="10"/>
    </row>
    <row r="12" spans="1:10">
      <c r="A12" s="11"/>
      <c r="B12" s="11"/>
      <c r="C12" s="12"/>
      <c r="D12" s="4" t="s">
        <v>19</v>
      </c>
      <c r="E12" s="2">
        <v>33.5</v>
      </c>
      <c r="F12" s="10"/>
      <c r="G12" s="10"/>
      <c r="H12" s="5">
        <f>E12/$E$12</f>
        <v>1</v>
      </c>
      <c r="I12" s="10"/>
      <c r="J12" s="10"/>
    </row>
    <row r="13" spans="1:10">
      <c r="A13" s="11"/>
      <c r="B13" s="11"/>
      <c r="C13" s="12"/>
      <c r="D13" s="4" t="s">
        <v>20</v>
      </c>
      <c r="E13" s="2">
        <v>27.6</v>
      </c>
      <c r="F13" s="10"/>
      <c r="G13" s="10"/>
      <c r="H13" s="5">
        <f>E13/$E$13</f>
        <v>1</v>
      </c>
      <c r="I13" s="10"/>
      <c r="J13" s="10"/>
    </row>
    <row r="14" spans="1:10">
      <c r="A14" s="11"/>
      <c r="B14" s="11"/>
      <c r="C14" s="12"/>
      <c r="D14" s="4" t="s">
        <v>21</v>
      </c>
      <c r="E14" s="2">
        <v>26.5</v>
      </c>
      <c r="F14" s="10"/>
      <c r="G14" s="10"/>
      <c r="H14" s="5">
        <f>E14/$E$14</f>
        <v>1</v>
      </c>
      <c r="I14" s="10"/>
      <c r="J14" s="10"/>
    </row>
    <row r="15" spans="1:10">
      <c r="A15" s="11" t="s">
        <v>9</v>
      </c>
      <c r="B15" s="11">
        <v>9</v>
      </c>
      <c r="C15" s="12"/>
      <c r="D15" s="4" t="s">
        <v>22</v>
      </c>
      <c r="E15" s="2">
        <v>21.8</v>
      </c>
      <c r="F15" s="10">
        <f>AVERAGE(E15:E20)</f>
        <v>25.05</v>
      </c>
      <c r="G15" s="10">
        <f>STDEV(E15:E20)</f>
        <v>3.1156058800817346</v>
      </c>
      <c r="H15" s="5">
        <f>E15/$E$15</f>
        <v>1</v>
      </c>
      <c r="I15" s="10">
        <f>AVERAGE(H15:H20)</f>
        <v>1</v>
      </c>
      <c r="J15" s="10">
        <f>STDEV(H15:H20)</f>
        <v>0</v>
      </c>
    </row>
    <row r="16" spans="1:10">
      <c r="A16" s="11"/>
      <c r="B16" s="11"/>
      <c r="C16" s="12"/>
      <c r="D16" s="4" t="s">
        <v>23</v>
      </c>
      <c r="E16" s="2">
        <v>27.4</v>
      </c>
      <c r="F16" s="10"/>
      <c r="G16" s="10"/>
      <c r="H16" s="5">
        <f>E16/$E$16</f>
        <v>1</v>
      </c>
      <c r="I16" s="10"/>
      <c r="J16" s="10"/>
    </row>
    <row r="17" spans="1:10">
      <c r="A17" s="11"/>
      <c r="B17" s="11"/>
      <c r="C17" s="12"/>
      <c r="D17" s="4" t="s">
        <v>24</v>
      </c>
      <c r="E17" s="2">
        <v>29.5</v>
      </c>
      <c r="F17" s="10"/>
      <c r="G17" s="10"/>
      <c r="H17" s="9">
        <f>E17/$E$17</f>
        <v>1</v>
      </c>
      <c r="I17" s="10"/>
      <c r="J17" s="10"/>
    </row>
    <row r="18" spans="1:10">
      <c r="A18" s="11"/>
      <c r="B18" s="11"/>
      <c r="C18" s="12"/>
      <c r="D18" s="4" t="s">
        <v>25</v>
      </c>
      <c r="E18" s="2">
        <v>23.7</v>
      </c>
      <c r="F18" s="10"/>
      <c r="G18" s="10"/>
      <c r="H18" s="9">
        <f>E18/$E$18</f>
        <v>1</v>
      </c>
      <c r="I18" s="10"/>
      <c r="J18" s="10"/>
    </row>
    <row r="19" spans="1:10">
      <c r="A19" s="11"/>
      <c r="B19" s="11"/>
      <c r="C19" s="12"/>
      <c r="D19" s="4" t="s">
        <v>26</v>
      </c>
      <c r="E19" s="2">
        <v>21.9</v>
      </c>
      <c r="F19" s="10"/>
      <c r="G19" s="10"/>
      <c r="H19" s="9">
        <f>E19/$E$19</f>
        <v>1</v>
      </c>
      <c r="I19" s="10"/>
      <c r="J19" s="10"/>
    </row>
    <row r="20" spans="1:10">
      <c r="A20" s="11"/>
      <c r="B20" s="11"/>
      <c r="C20" s="12"/>
      <c r="D20" s="4" t="s">
        <v>27</v>
      </c>
      <c r="E20" s="2">
        <v>26</v>
      </c>
      <c r="F20" s="10"/>
      <c r="G20" s="10"/>
      <c r="H20" s="9">
        <f>E20/$E$20</f>
        <v>1</v>
      </c>
      <c r="I20" s="10"/>
      <c r="J20" s="10"/>
    </row>
    <row r="21" spans="1:10">
      <c r="A21" s="11" t="s">
        <v>9</v>
      </c>
      <c r="B21" s="11">
        <v>1</v>
      </c>
      <c r="C21" s="12" t="s">
        <v>36</v>
      </c>
      <c r="D21" s="4" t="s">
        <v>10</v>
      </c>
      <c r="E21" s="2">
        <v>23</v>
      </c>
      <c r="F21" s="10">
        <f>AVERAGE(E21:E26)</f>
        <v>22.716666666666669</v>
      </c>
      <c r="G21" s="10">
        <f>STDEV(E21:E26)</f>
        <v>4.6218683091004094</v>
      </c>
      <c r="H21" s="9">
        <f>E21/$E$3</f>
        <v>0.8127208480565371</v>
      </c>
      <c r="I21" s="10">
        <f>AVERAGE(H21:H26)</f>
        <v>0.85610376143481759</v>
      </c>
      <c r="J21" s="10">
        <f>STDEV(H21:H26)</f>
        <v>9.5580922924686007E-2</v>
      </c>
    </row>
    <row r="22" spans="1:10" ht="15.75" customHeight="1">
      <c r="A22" s="11"/>
      <c r="B22" s="11"/>
      <c r="C22" s="12"/>
      <c r="D22" s="4" t="s">
        <v>11</v>
      </c>
      <c r="E22" s="2">
        <v>27.6</v>
      </c>
      <c r="F22" s="10"/>
      <c r="G22" s="10"/>
      <c r="H22" s="9">
        <f>E22/$E$4</f>
        <v>0.94197952218430037</v>
      </c>
      <c r="I22" s="10"/>
      <c r="J22" s="10"/>
    </row>
    <row r="23" spans="1:10">
      <c r="A23" s="11"/>
      <c r="B23" s="11"/>
      <c r="C23" s="12"/>
      <c r="D23" s="4" t="s">
        <v>12</v>
      </c>
      <c r="E23" s="2">
        <v>27.8</v>
      </c>
      <c r="F23" s="10"/>
      <c r="G23" s="10"/>
      <c r="H23" s="9">
        <f>E23/$E$5</f>
        <v>0.96193771626297586</v>
      </c>
      <c r="I23" s="10"/>
      <c r="J23" s="10"/>
    </row>
    <row r="24" spans="1:10">
      <c r="A24" s="11"/>
      <c r="B24" s="11"/>
      <c r="C24" s="12"/>
      <c r="D24" s="4" t="s">
        <v>13</v>
      </c>
      <c r="E24" s="2">
        <v>18.899999999999999</v>
      </c>
      <c r="F24" s="10"/>
      <c r="G24" s="10"/>
      <c r="H24" s="9">
        <f>E24/$E$6</f>
        <v>0.72137404580152664</v>
      </c>
      <c r="I24" s="10"/>
      <c r="J24" s="10"/>
    </row>
    <row r="25" spans="1:10">
      <c r="A25" s="11"/>
      <c r="B25" s="11"/>
      <c r="C25" s="12"/>
      <c r="D25" s="4" t="s">
        <v>14</v>
      </c>
      <c r="E25" s="2">
        <v>22.8</v>
      </c>
      <c r="F25" s="10"/>
      <c r="G25" s="10"/>
      <c r="H25" s="9">
        <f>E25/$E$7</f>
        <v>0.9083665338645418</v>
      </c>
      <c r="I25" s="10"/>
      <c r="J25" s="10"/>
    </row>
    <row r="26" spans="1:10">
      <c r="A26" s="11"/>
      <c r="B26" s="11"/>
      <c r="C26" s="12"/>
      <c r="D26" s="4" t="s">
        <v>15</v>
      </c>
      <c r="E26" s="2">
        <v>16.2</v>
      </c>
      <c r="F26" s="10"/>
      <c r="G26" s="10"/>
      <c r="H26" s="9">
        <f>E26/$E$8</f>
        <v>0.79024390243902431</v>
      </c>
      <c r="I26" s="10"/>
      <c r="J26" s="10"/>
    </row>
    <row r="27" spans="1:10">
      <c r="A27" s="11" t="s">
        <v>9</v>
      </c>
      <c r="B27" s="11">
        <v>3</v>
      </c>
      <c r="C27" s="12"/>
      <c r="D27" s="4" t="s">
        <v>16</v>
      </c>
      <c r="E27" s="2">
        <v>21.4</v>
      </c>
      <c r="F27" s="10">
        <f>AVERAGE(E27:E32)</f>
        <v>24.133333333333329</v>
      </c>
      <c r="G27" s="10">
        <f>STDEV(E27:E32)</f>
        <v>5.0182334209029129</v>
      </c>
      <c r="H27" s="9">
        <f>E27/$E$9</f>
        <v>0.88429752066115697</v>
      </c>
      <c r="I27" s="10">
        <f>AVERAGE(H27:H32)</f>
        <v>0.92206263769124641</v>
      </c>
      <c r="J27" s="10">
        <f>STDEV(H27:H32)</f>
        <v>0.10062392661695387</v>
      </c>
    </row>
    <row r="28" spans="1:10">
      <c r="A28" s="11"/>
      <c r="B28" s="11"/>
      <c r="C28" s="12"/>
      <c r="D28" s="4" t="s">
        <v>17</v>
      </c>
      <c r="E28" s="2">
        <v>22.1</v>
      </c>
      <c r="F28" s="10"/>
      <c r="G28" s="10"/>
      <c r="H28" s="9">
        <f>E28/$E$10</f>
        <v>0.9324894514767933</v>
      </c>
      <c r="I28" s="10"/>
      <c r="J28" s="10"/>
    </row>
    <row r="29" spans="1:10">
      <c r="A29" s="11"/>
      <c r="B29" s="11"/>
      <c r="C29" s="12"/>
      <c r="D29" s="4" t="s">
        <v>18</v>
      </c>
      <c r="E29" s="2">
        <v>20.3</v>
      </c>
      <c r="F29" s="10"/>
      <c r="G29" s="10"/>
      <c r="H29" s="9">
        <f>E29/$E$11</f>
        <v>0.94859813084112155</v>
      </c>
      <c r="I29" s="10"/>
      <c r="J29" s="10"/>
    </row>
    <row r="30" spans="1:10" ht="15.75" customHeight="1">
      <c r="A30" s="11"/>
      <c r="B30" s="11"/>
      <c r="C30" s="12"/>
      <c r="D30" s="4" t="s">
        <v>19</v>
      </c>
      <c r="E30" s="2">
        <v>32.799999999999997</v>
      </c>
      <c r="F30" s="10"/>
      <c r="G30" s="10"/>
      <c r="H30" s="9">
        <f>E30/$E$12</f>
        <v>0.97910447761194019</v>
      </c>
      <c r="I30" s="10"/>
      <c r="J30" s="10"/>
    </row>
    <row r="31" spans="1:10">
      <c r="A31" s="11"/>
      <c r="B31" s="11"/>
      <c r="C31" s="12"/>
      <c r="D31" s="4" t="s">
        <v>20</v>
      </c>
      <c r="E31" s="2">
        <v>20.6</v>
      </c>
      <c r="F31" s="10"/>
      <c r="G31" s="10"/>
      <c r="H31" s="9">
        <f>E31/$E$13</f>
        <v>0.74637681159420288</v>
      </c>
      <c r="I31" s="10"/>
      <c r="J31" s="10"/>
    </row>
    <row r="32" spans="1:10">
      <c r="A32" s="11"/>
      <c r="B32" s="11"/>
      <c r="C32" s="12"/>
      <c r="D32" s="4" t="s">
        <v>21</v>
      </c>
      <c r="E32" s="2">
        <v>27.6</v>
      </c>
      <c r="F32" s="10"/>
      <c r="G32" s="10"/>
      <c r="H32" s="9">
        <f>E32/$E$14</f>
        <v>1.0415094339622641</v>
      </c>
      <c r="I32" s="10"/>
      <c r="J32" s="10"/>
    </row>
    <row r="33" spans="1:10">
      <c r="A33" s="11" t="s">
        <v>9</v>
      </c>
      <c r="B33" s="11">
        <v>9</v>
      </c>
      <c r="C33" s="12"/>
      <c r="D33" s="4" t="s">
        <v>22</v>
      </c>
      <c r="E33" s="2">
        <v>20.9</v>
      </c>
      <c r="F33" s="10">
        <f>AVERAGE(E33:E38)</f>
        <v>23.900000000000002</v>
      </c>
      <c r="G33" s="10">
        <f>STDEV(E33:E38)</f>
        <v>3.1093407661431782</v>
      </c>
      <c r="H33" s="9">
        <f>E33/$E$15</f>
        <v>0.95871559633027514</v>
      </c>
      <c r="I33" s="10">
        <f>AVERAGE(H33:H38)</f>
        <v>0.95470738402531197</v>
      </c>
      <c r="J33" s="10">
        <f>STDEV(H33:H38)</f>
        <v>4.3936854076737315E-2</v>
      </c>
    </row>
    <row r="34" spans="1:10" ht="15.75" customHeight="1">
      <c r="A34" s="11"/>
      <c r="B34" s="11"/>
      <c r="C34" s="12"/>
      <c r="D34" s="4" t="s">
        <v>23</v>
      </c>
      <c r="E34" s="2">
        <v>25.8</v>
      </c>
      <c r="F34" s="10"/>
      <c r="G34" s="10"/>
      <c r="H34" s="9">
        <f>E34/$E$16</f>
        <v>0.94160583941605847</v>
      </c>
      <c r="I34" s="10"/>
      <c r="J34" s="10"/>
    </row>
    <row r="35" spans="1:10">
      <c r="A35" s="11"/>
      <c r="B35" s="11"/>
      <c r="C35" s="12"/>
      <c r="D35" s="4" t="s">
        <v>24</v>
      </c>
      <c r="E35" s="2">
        <v>29.3</v>
      </c>
      <c r="F35" s="10"/>
      <c r="G35" s="10"/>
      <c r="H35" s="9">
        <f>E35/$E$17</f>
        <v>0.99322033898305084</v>
      </c>
      <c r="I35" s="10"/>
      <c r="J35" s="10"/>
    </row>
    <row r="36" spans="1:10" ht="15.75" customHeight="1">
      <c r="A36" s="11"/>
      <c r="B36" s="11"/>
      <c r="C36" s="12"/>
      <c r="D36" s="4" t="s">
        <v>25</v>
      </c>
      <c r="E36" s="2">
        <v>22.5</v>
      </c>
      <c r="F36" s="10"/>
      <c r="G36" s="10"/>
      <c r="H36" s="9">
        <f>E36/$E$18</f>
        <v>0.949367088607595</v>
      </c>
      <c r="I36" s="10"/>
      <c r="J36" s="10"/>
    </row>
    <row r="37" spans="1:10">
      <c r="A37" s="11"/>
      <c r="B37" s="11"/>
      <c r="C37" s="12"/>
      <c r="D37" s="4" t="s">
        <v>26</v>
      </c>
      <c r="E37" s="2">
        <v>22</v>
      </c>
      <c r="F37" s="10"/>
      <c r="G37" s="10"/>
      <c r="H37" s="9">
        <f>E37/$E$19</f>
        <v>1.0045662100456623</v>
      </c>
      <c r="I37" s="10"/>
      <c r="J37" s="10"/>
    </row>
    <row r="38" spans="1:10">
      <c r="A38" s="11"/>
      <c r="B38" s="11"/>
      <c r="C38" s="12"/>
      <c r="D38" s="4" t="s">
        <v>27</v>
      </c>
      <c r="E38" s="2">
        <v>22.9</v>
      </c>
      <c r="F38" s="10"/>
      <c r="G38" s="10"/>
      <c r="H38" s="9">
        <f>E38/$E$20</f>
        <v>0.88076923076923075</v>
      </c>
      <c r="I38" s="10"/>
      <c r="J38" s="10"/>
    </row>
    <row r="39" spans="1:10">
      <c r="A39" s="11" t="s">
        <v>9</v>
      </c>
      <c r="B39" s="11">
        <v>1</v>
      </c>
      <c r="C39" s="12" t="s">
        <v>37</v>
      </c>
      <c r="D39" s="4" t="s">
        <v>10</v>
      </c>
      <c r="E39" s="2">
        <v>25.8</v>
      </c>
      <c r="F39" s="10">
        <f>AVERAGE(E39:E44)</f>
        <v>26.200000000000003</v>
      </c>
      <c r="G39" s="10">
        <f>STDEV(E39:E44)</f>
        <v>2.9979993328885048</v>
      </c>
      <c r="H39" s="9">
        <f>E39/$E$3</f>
        <v>0.91166077738515905</v>
      </c>
      <c r="I39" s="10">
        <f>AVERAGE(H39:H44)</f>
        <v>0.99871146710665515</v>
      </c>
      <c r="J39" s="10">
        <f>STDEV(H39:H44)</f>
        <v>9.3931624862975821E-2</v>
      </c>
    </row>
    <row r="40" spans="1:10">
      <c r="A40" s="11"/>
      <c r="B40" s="11"/>
      <c r="C40" s="12"/>
      <c r="D40" s="4" t="s">
        <v>11</v>
      </c>
      <c r="E40" s="2">
        <v>25.9</v>
      </c>
      <c r="F40" s="10"/>
      <c r="G40" s="10"/>
      <c r="H40" s="9">
        <f>E40/$E$4</f>
        <v>0.88395904436860062</v>
      </c>
      <c r="I40" s="10"/>
      <c r="J40" s="10"/>
    </row>
    <row r="41" spans="1:10">
      <c r="A41" s="11"/>
      <c r="B41" s="11"/>
      <c r="C41" s="12"/>
      <c r="D41" s="4" t="s">
        <v>12</v>
      </c>
      <c r="E41" s="2">
        <v>31.6</v>
      </c>
      <c r="F41" s="10"/>
      <c r="G41" s="10"/>
      <c r="H41" s="9">
        <f>E41/$E$5</f>
        <v>1.0934256055363323</v>
      </c>
      <c r="I41" s="10"/>
      <c r="J41" s="10"/>
    </row>
    <row r="42" spans="1:10">
      <c r="A42" s="11"/>
      <c r="B42" s="11"/>
      <c r="C42" s="12"/>
      <c r="D42" s="4" t="s">
        <v>13</v>
      </c>
      <c r="E42" s="2">
        <v>26.8</v>
      </c>
      <c r="F42" s="10"/>
      <c r="G42" s="10"/>
      <c r="H42" s="9">
        <f>E42/$E$6</f>
        <v>1.0229007633587788</v>
      </c>
      <c r="I42" s="10"/>
      <c r="J42" s="10"/>
    </row>
    <row r="43" spans="1:10">
      <c r="A43" s="11"/>
      <c r="B43" s="11"/>
      <c r="C43" s="12"/>
      <c r="D43" s="4" t="s">
        <v>14</v>
      </c>
      <c r="E43" s="2">
        <v>24.3</v>
      </c>
      <c r="F43" s="10"/>
      <c r="G43" s="10"/>
      <c r="H43" s="9">
        <f>E43/$E$7</f>
        <v>0.96812749003984067</v>
      </c>
      <c r="I43" s="10"/>
      <c r="J43" s="10"/>
    </row>
    <row r="44" spans="1:10">
      <c r="A44" s="11"/>
      <c r="B44" s="11"/>
      <c r="C44" s="12"/>
      <c r="D44" s="4" t="s">
        <v>15</v>
      </c>
      <c r="E44" s="2">
        <v>22.8</v>
      </c>
      <c r="F44" s="10"/>
      <c r="G44" s="10"/>
      <c r="H44" s="9">
        <f>E44/$E$8</f>
        <v>1.1121951219512196</v>
      </c>
      <c r="I44" s="10"/>
      <c r="J44" s="10"/>
    </row>
    <row r="45" spans="1:10">
      <c r="A45" s="11" t="s">
        <v>9</v>
      </c>
      <c r="B45" s="11">
        <v>3</v>
      </c>
      <c r="C45" s="12"/>
      <c r="D45" s="4" t="s">
        <v>16</v>
      </c>
      <c r="E45" s="2">
        <v>25.4</v>
      </c>
      <c r="F45" s="10">
        <f>AVERAGE(E45:E50)</f>
        <v>28.233333333333334</v>
      </c>
      <c r="G45" s="10">
        <f>STDEV(E45:E50)</f>
        <v>6.6388754067738462</v>
      </c>
      <c r="H45" s="9">
        <f>E45/$E$9</f>
        <v>1.0495867768595042</v>
      </c>
      <c r="I45" s="10">
        <f>AVERAGE(H45:H50)</f>
        <v>1.0704459540007811</v>
      </c>
      <c r="J45" s="10">
        <f>STDEV(H45:H50)</f>
        <v>7.19344748197943E-2</v>
      </c>
    </row>
    <row r="46" spans="1:10">
      <c r="A46" s="11"/>
      <c r="B46" s="11"/>
      <c r="C46" s="12"/>
      <c r="D46" s="4" t="s">
        <v>17</v>
      </c>
      <c r="E46" s="2">
        <v>24.5</v>
      </c>
      <c r="F46" s="10"/>
      <c r="G46" s="10"/>
      <c r="H46" s="9">
        <f>E46/$E$10</f>
        <v>1.0337552742616034</v>
      </c>
      <c r="I46" s="10"/>
      <c r="J46" s="10"/>
    </row>
    <row r="47" spans="1:10">
      <c r="A47" s="11"/>
      <c r="B47" s="11"/>
      <c r="C47" s="12"/>
      <c r="D47" s="4" t="s">
        <v>18</v>
      </c>
      <c r="E47" s="2">
        <v>21.6</v>
      </c>
      <c r="F47" s="10"/>
      <c r="G47" s="10"/>
      <c r="H47" s="9">
        <f>E47/$E$11</f>
        <v>1.0093457943925235</v>
      </c>
      <c r="I47" s="10"/>
      <c r="J47" s="10"/>
    </row>
    <row r="48" spans="1:10">
      <c r="A48" s="11"/>
      <c r="B48" s="11"/>
      <c r="C48" s="12"/>
      <c r="D48" s="4" t="s">
        <v>19</v>
      </c>
      <c r="E48" s="2">
        <v>40.6</v>
      </c>
      <c r="F48" s="10"/>
      <c r="G48" s="10"/>
      <c r="H48" s="9">
        <f>E48/$E$12</f>
        <v>1.2119402985074628</v>
      </c>
      <c r="I48" s="10"/>
      <c r="J48" s="10"/>
    </row>
    <row r="49" spans="1:10">
      <c r="A49" s="11"/>
      <c r="B49" s="11"/>
      <c r="C49" s="12"/>
      <c r="D49" s="4" t="s">
        <v>20</v>
      </c>
      <c r="E49" s="2">
        <v>29.4</v>
      </c>
      <c r="F49" s="10"/>
      <c r="G49" s="10"/>
      <c r="H49" s="9">
        <f>E49/$E$13</f>
        <v>1.0652173913043477</v>
      </c>
      <c r="I49" s="10"/>
      <c r="J49" s="10"/>
    </row>
    <row r="50" spans="1:10">
      <c r="A50" s="11"/>
      <c r="B50" s="11"/>
      <c r="C50" s="12"/>
      <c r="D50" s="4" t="s">
        <v>21</v>
      </c>
      <c r="E50" s="2">
        <v>27.9</v>
      </c>
      <c r="F50" s="10"/>
      <c r="G50" s="10"/>
      <c r="H50" s="9">
        <f>E50/$E$14</f>
        <v>1.0528301886792453</v>
      </c>
      <c r="I50" s="10"/>
      <c r="J50" s="10"/>
    </row>
    <row r="51" spans="1:10">
      <c r="A51" s="11" t="s">
        <v>9</v>
      </c>
      <c r="B51" s="11">
        <v>9</v>
      </c>
      <c r="C51" s="12"/>
      <c r="D51" s="4" t="s">
        <v>22</v>
      </c>
      <c r="E51" s="2">
        <v>21.9</v>
      </c>
      <c r="F51" s="10">
        <f>AVERAGE(E51:E56)</f>
        <v>26.866666666666664</v>
      </c>
      <c r="G51" s="10">
        <f>STDEV(E51:E56)</f>
        <v>4.2401257842977591</v>
      </c>
      <c r="H51" s="9">
        <f>E51/$E$15</f>
        <v>1.0045871559633026</v>
      </c>
      <c r="I51" s="10">
        <f>AVERAGE(H51:H56)</f>
        <v>1.0753910062518044</v>
      </c>
      <c r="J51" s="10">
        <f>STDEV(H51:H56)</f>
        <v>0.13057586244166439</v>
      </c>
    </row>
    <row r="52" spans="1:10">
      <c r="A52" s="11"/>
      <c r="B52" s="11"/>
      <c r="C52" s="12"/>
      <c r="D52" s="4" t="s">
        <v>23</v>
      </c>
      <c r="E52" s="2">
        <v>26.5</v>
      </c>
      <c r="F52" s="10"/>
      <c r="G52" s="10"/>
      <c r="H52" s="9">
        <f>E52/$E$16</f>
        <v>0.96715328467153294</v>
      </c>
      <c r="I52" s="10"/>
      <c r="J52" s="10"/>
    </row>
    <row r="53" spans="1:10">
      <c r="A53" s="11"/>
      <c r="B53" s="11"/>
      <c r="C53" s="12"/>
      <c r="D53" s="4" t="s">
        <v>24</v>
      </c>
      <c r="E53" s="2">
        <v>34.200000000000003</v>
      </c>
      <c r="F53" s="10"/>
      <c r="G53" s="10"/>
      <c r="H53" s="9">
        <f>E53/$E$17</f>
        <v>1.1593220338983052</v>
      </c>
      <c r="I53" s="10"/>
      <c r="J53" s="10"/>
    </row>
    <row r="54" spans="1:10" ht="15.75" customHeight="1">
      <c r="A54" s="11"/>
      <c r="B54" s="11"/>
      <c r="C54" s="12"/>
      <c r="D54" s="4" t="s">
        <v>25</v>
      </c>
      <c r="E54" s="2">
        <v>28</v>
      </c>
      <c r="F54" s="10"/>
      <c r="G54" s="10"/>
      <c r="H54" s="9">
        <f>E54/$E$18</f>
        <v>1.1814345991561181</v>
      </c>
      <c r="I54" s="10"/>
      <c r="J54" s="10"/>
    </row>
    <row r="55" spans="1:10" ht="15.75" customHeight="1">
      <c r="A55" s="11"/>
      <c r="B55" s="11"/>
      <c r="C55" s="12"/>
      <c r="D55" s="4" t="s">
        <v>26</v>
      </c>
      <c r="E55" s="2">
        <v>26.9</v>
      </c>
      <c r="F55" s="10"/>
      <c r="G55" s="10"/>
      <c r="H55" s="9">
        <f>E55/$E$19</f>
        <v>1.2283105022831051</v>
      </c>
      <c r="I55" s="10"/>
      <c r="J55" s="10"/>
    </row>
    <row r="56" spans="1:10">
      <c r="A56" s="11"/>
      <c r="B56" s="11"/>
      <c r="C56" s="12"/>
      <c r="D56" s="4" t="s">
        <v>27</v>
      </c>
      <c r="E56" s="2">
        <v>23.7</v>
      </c>
      <c r="F56" s="10"/>
      <c r="G56" s="10"/>
      <c r="H56" s="9">
        <f>E56/$E$20</f>
        <v>0.91153846153846152</v>
      </c>
      <c r="I56" s="10"/>
      <c r="J56" s="10"/>
    </row>
    <row r="57" spans="1:10">
      <c r="A57" s="11" t="s">
        <v>9</v>
      </c>
      <c r="B57" s="11">
        <v>1</v>
      </c>
      <c r="C57" s="12" t="s">
        <v>29</v>
      </c>
      <c r="D57" s="4" t="s">
        <v>10</v>
      </c>
      <c r="E57" s="2">
        <v>27.5</v>
      </c>
      <c r="F57" s="10">
        <f>AVERAGE(E57:E62)</f>
        <v>27.283333333333335</v>
      </c>
      <c r="G57" s="10">
        <f>STDEV(E57:E62)</f>
        <v>3.3772276598811586</v>
      </c>
      <c r="H57" s="9">
        <f>E57/$E$3</f>
        <v>0.9717314487632509</v>
      </c>
      <c r="I57" s="10">
        <f>AVERAGE(H57:H62)</f>
        <v>1.0394957345161864</v>
      </c>
      <c r="J57" s="10">
        <f>STDEV(H57:H62)</f>
        <v>0.10752624149619716</v>
      </c>
    </row>
    <row r="58" spans="1:10">
      <c r="A58" s="11"/>
      <c r="B58" s="11"/>
      <c r="C58" s="12"/>
      <c r="D58" s="4" t="s">
        <v>11</v>
      </c>
      <c r="E58" s="2">
        <v>27.3</v>
      </c>
      <c r="F58" s="10"/>
      <c r="G58" s="10"/>
      <c r="H58" s="9">
        <f>E58/$E$4</f>
        <v>0.93174061433447097</v>
      </c>
      <c r="I58" s="10"/>
      <c r="J58" s="10"/>
    </row>
    <row r="59" spans="1:10">
      <c r="A59" s="11"/>
      <c r="B59" s="11"/>
      <c r="C59" s="12"/>
      <c r="D59" s="4" t="s">
        <v>12</v>
      </c>
      <c r="E59" s="2">
        <v>32.1</v>
      </c>
      <c r="F59" s="10"/>
      <c r="G59" s="10"/>
      <c r="H59" s="9">
        <f>E59/$E$5</f>
        <v>1.1107266435986161</v>
      </c>
      <c r="I59" s="10"/>
      <c r="J59" s="10"/>
    </row>
    <row r="60" spans="1:10">
      <c r="A60" s="11"/>
      <c r="B60" s="11"/>
      <c r="C60" s="12"/>
      <c r="D60" s="4" t="s">
        <v>13</v>
      </c>
      <c r="E60" s="2">
        <v>24.4</v>
      </c>
      <c r="F60" s="10"/>
      <c r="G60" s="10"/>
      <c r="H60" s="9">
        <f>E60/$E$6</f>
        <v>0.93129770992366412</v>
      </c>
      <c r="I60" s="10"/>
      <c r="J60" s="10"/>
    </row>
    <row r="61" spans="1:10">
      <c r="A61" s="11"/>
      <c r="B61" s="11"/>
      <c r="C61" s="12"/>
      <c r="D61" s="4" t="s">
        <v>14</v>
      </c>
      <c r="E61" s="2">
        <v>29.6</v>
      </c>
      <c r="F61" s="10"/>
      <c r="G61" s="10"/>
      <c r="H61" s="9">
        <f>E61/$E$7</f>
        <v>1.1792828685258965</v>
      </c>
      <c r="I61" s="10"/>
      <c r="J61" s="10"/>
    </row>
    <row r="62" spans="1:10">
      <c r="A62" s="11"/>
      <c r="B62" s="11"/>
      <c r="C62" s="12"/>
      <c r="D62" s="4" t="s">
        <v>15</v>
      </c>
      <c r="E62" s="2">
        <v>22.8</v>
      </c>
      <c r="F62" s="10"/>
      <c r="G62" s="10"/>
      <c r="H62" s="9">
        <f>E62/$E$8</f>
        <v>1.1121951219512196</v>
      </c>
      <c r="I62" s="10"/>
      <c r="J62" s="10"/>
    </row>
    <row r="63" spans="1:10">
      <c r="A63" s="11" t="s">
        <v>9</v>
      </c>
      <c r="B63" s="11">
        <v>3</v>
      </c>
      <c r="C63" s="12"/>
      <c r="D63" s="4" t="s">
        <v>16</v>
      </c>
      <c r="E63" s="2">
        <v>27.4</v>
      </c>
      <c r="F63" s="10">
        <f>AVERAGE(E63:E68)</f>
        <v>30.883333333333336</v>
      </c>
      <c r="G63" s="10">
        <f>STDEV(E63:E68)</f>
        <v>7.3013469077058959</v>
      </c>
      <c r="H63" s="9">
        <f>E63/$E$9</f>
        <v>1.1322314049586777</v>
      </c>
      <c r="I63" s="10">
        <f>AVERAGE(H63:H68)</f>
        <v>1.302125754481668</v>
      </c>
      <c r="J63" s="10">
        <f>STDEV(H63:H68)</f>
        <v>0.40774902704934141</v>
      </c>
    </row>
    <row r="64" spans="1:10">
      <c r="A64" s="11"/>
      <c r="B64" s="11"/>
      <c r="C64" s="12"/>
      <c r="D64" s="4" t="s">
        <v>17</v>
      </c>
      <c r="E64" s="2">
        <v>26.4</v>
      </c>
      <c r="F64" s="10"/>
      <c r="G64" s="10"/>
      <c r="H64" s="9">
        <f>E64/$E$10</f>
        <v>1.1139240506329113</v>
      </c>
      <c r="I64" s="10"/>
      <c r="J64" s="10"/>
    </row>
    <row r="65" spans="1:10">
      <c r="A65" s="11"/>
      <c r="B65" s="11"/>
      <c r="C65" s="12"/>
      <c r="D65" s="4" t="s">
        <v>18</v>
      </c>
      <c r="E65" s="2">
        <v>26.7</v>
      </c>
      <c r="F65" s="10"/>
      <c r="G65" s="10"/>
      <c r="H65" s="9">
        <f>E65/$E$11</f>
        <v>1.2476635514018692</v>
      </c>
      <c r="I65" s="10"/>
      <c r="J65" s="10"/>
    </row>
    <row r="66" spans="1:10">
      <c r="A66" s="11"/>
      <c r="B66" s="11"/>
      <c r="C66" s="12"/>
      <c r="D66" s="7" t="s">
        <v>19</v>
      </c>
      <c r="E66" s="8">
        <v>45.5</v>
      </c>
      <c r="F66" s="10"/>
      <c r="G66" s="10"/>
      <c r="H66" s="9">
        <f>E66/$E$11</f>
        <v>2.1261682242990654</v>
      </c>
      <c r="I66" s="10"/>
      <c r="J66" s="10"/>
    </row>
    <row r="67" spans="1:10">
      <c r="A67" s="11"/>
      <c r="B67" s="11"/>
      <c r="C67" s="12"/>
      <c r="D67" s="4" t="s">
        <v>20</v>
      </c>
      <c r="E67" s="2">
        <v>29.9</v>
      </c>
      <c r="F67" s="10"/>
      <c r="G67" s="10"/>
      <c r="H67" s="9">
        <f>E67/$E$13</f>
        <v>1.0833333333333333</v>
      </c>
      <c r="I67" s="10"/>
      <c r="J67" s="10"/>
    </row>
    <row r="68" spans="1:10">
      <c r="A68" s="11"/>
      <c r="B68" s="11"/>
      <c r="C68" s="12"/>
      <c r="D68" s="4" t="s">
        <v>21</v>
      </c>
      <c r="E68" s="2">
        <v>29.4</v>
      </c>
      <c r="F68" s="10"/>
      <c r="G68" s="10"/>
      <c r="H68" s="9">
        <f>E68/$E$14</f>
        <v>1.1094339622641509</v>
      </c>
      <c r="I68" s="10"/>
      <c r="J68" s="10"/>
    </row>
    <row r="69" spans="1:10">
      <c r="A69" s="11" t="s">
        <v>9</v>
      </c>
      <c r="B69" s="11">
        <v>9</v>
      </c>
      <c r="C69" s="12"/>
      <c r="D69" s="4" t="s">
        <v>22</v>
      </c>
      <c r="E69" s="2">
        <v>26.1</v>
      </c>
      <c r="F69" s="10">
        <f>AVERAGE(E69:E74)</f>
        <v>32.066666666666663</v>
      </c>
      <c r="G69" s="10">
        <f>STDEV(E69:E74)</f>
        <v>6.4257814051418496</v>
      </c>
      <c r="H69" s="9">
        <f>E69/$E$15</f>
        <v>1.1972477064220184</v>
      </c>
      <c r="I69" s="10">
        <f>AVERAGE(H69:H74)</f>
        <v>1.2834644323428839</v>
      </c>
      <c r="J69" s="10">
        <f>STDEV(H69:H74)</f>
        <v>0.23162212155546499</v>
      </c>
    </row>
    <row r="70" spans="1:10">
      <c r="A70" s="11"/>
      <c r="B70" s="11"/>
      <c r="C70" s="12"/>
      <c r="D70" s="4" t="s">
        <v>23</v>
      </c>
      <c r="E70" s="2">
        <v>31.2</v>
      </c>
      <c r="F70" s="10"/>
      <c r="G70" s="10"/>
      <c r="H70" s="9">
        <f>E70/$E$16</f>
        <v>1.1386861313868613</v>
      </c>
      <c r="I70" s="10"/>
      <c r="J70" s="10"/>
    </row>
    <row r="71" spans="1:10">
      <c r="A71" s="11"/>
      <c r="B71" s="11"/>
      <c r="C71" s="12"/>
      <c r="D71" s="4" t="s">
        <v>24</v>
      </c>
      <c r="E71" s="2">
        <v>39.4</v>
      </c>
      <c r="F71" s="10"/>
      <c r="G71" s="10"/>
      <c r="H71" s="9">
        <f>E71/$E$17</f>
        <v>1.3355932203389831</v>
      </c>
      <c r="I71" s="10"/>
      <c r="J71" s="10"/>
    </row>
    <row r="72" spans="1:10">
      <c r="A72" s="11"/>
      <c r="B72" s="11"/>
      <c r="C72" s="12"/>
      <c r="D72" s="4" t="s">
        <v>25</v>
      </c>
      <c r="E72" s="2">
        <v>40.700000000000003</v>
      </c>
      <c r="F72" s="10"/>
      <c r="G72" s="10"/>
      <c r="H72" s="9">
        <f>E72/$E$18</f>
        <v>1.7172995780590719</v>
      </c>
      <c r="I72" s="10"/>
      <c r="J72" s="10"/>
    </row>
    <row r="73" spans="1:10">
      <c r="A73" s="11"/>
      <c r="B73" s="11"/>
      <c r="C73" s="12"/>
      <c r="D73" s="4" t="s">
        <v>26</v>
      </c>
      <c r="E73" s="2">
        <v>27.3</v>
      </c>
      <c r="F73" s="10"/>
      <c r="G73" s="10"/>
      <c r="H73" s="9">
        <f>E73/$E$19</f>
        <v>1.2465753424657535</v>
      </c>
      <c r="I73" s="10"/>
      <c r="J73" s="10"/>
    </row>
    <row r="74" spans="1:10">
      <c r="A74" s="11"/>
      <c r="B74" s="11"/>
      <c r="C74" s="12"/>
      <c r="D74" s="4" t="s">
        <v>27</v>
      </c>
      <c r="E74" s="2">
        <v>27.7</v>
      </c>
      <c r="F74" s="10"/>
      <c r="G74" s="10"/>
      <c r="H74" s="9">
        <f>E74/$E$20</f>
        <v>1.0653846153846154</v>
      </c>
      <c r="I74" s="10"/>
      <c r="J74" s="10"/>
    </row>
    <row r="75" spans="1:10">
      <c r="A75" s="11" t="s">
        <v>9</v>
      </c>
      <c r="B75" s="11">
        <v>1</v>
      </c>
      <c r="C75" s="12" t="s">
        <v>30</v>
      </c>
      <c r="D75" s="4" t="s">
        <v>10</v>
      </c>
      <c r="E75" s="2">
        <v>32.1</v>
      </c>
      <c r="F75" s="10">
        <f>AVERAGE(E75:E80)</f>
        <v>28.066666666666666</v>
      </c>
      <c r="G75" s="10">
        <f>STDEV(E75:E80)</f>
        <v>5.4072790446459047</v>
      </c>
      <c r="H75" s="9">
        <f>E75/$E$3</f>
        <v>1.1342756183745584</v>
      </c>
      <c r="I75" s="10">
        <f>AVERAGE(H75:H80)</f>
        <v>1.0668472118241308</v>
      </c>
      <c r="J75" s="10">
        <f>STDEV(H75:H80)</f>
        <v>0.16552124912776539</v>
      </c>
    </row>
    <row r="76" spans="1:10">
      <c r="A76" s="11"/>
      <c r="B76" s="11"/>
      <c r="C76" s="12"/>
      <c r="D76" s="4" t="s">
        <v>11</v>
      </c>
      <c r="E76" s="2">
        <v>23.8</v>
      </c>
      <c r="F76" s="10"/>
      <c r="G76" s="10"/>
      <c r="H76" s="9">
        <f>E76/$E$4</f>
        <v>0.8122866894197952</v>
      </c>
      <c r="I76" s="10"/>
      <c r="J76" s="10"/>
    </row>
    <row r="77" spans="1:10">
      <c r="A77" s="11"/>
      <c r="B77" s="11"/>
      <c r="C77" s="12"/>
      <c r="D77" s="4" t="s">
        <v>12</v>
      </c>
      <c r="E77" s="2">
        <v>36.1</v>
      </c>
      <c r="F77" s="10"/>
      <c r="G77" s="10"/>
      <c r="H77" s="9">
        <f>E77/$E$5</f>
        <v>1.2491349480968859</v>
      </c>
      <c r="I77" s="10"/>
      <c r="J77" s="10"/>
    </row>
    <row r="78" spans="1:10">
      <c r="A78" s="11"/>
      <c r="B78" s="11"/>
      <c r="C78" s="12"/>
      <c r="D78" s="4" t="s">
        <v>13</v>
      </c>
      <c r="E78" s="2">
        <v>24.2</v>
      </c>
      <c r="F78" s="10"/>
      <c r="G78" s="10"/>
      <c r="H78" s="9">
        <f>E78/$E$6</f>
        <v>0.92366412213740456</v>
      </c>
      <c r="I78" s="10"/>
      <c r="J78" s="10"/>
    </row>
    <row r="79" spans="1:10">
      <c r="A79" s="11"/>
      <c r="B79" s="11"/>
      <c r="C79" s="12"/>
      <c r="D79" s="4" t="s">
        <v>14</v>
      </c>
      <c r="E79" s="2">
        <v>29.6</v>
      </c>
      <c r="F79" s="10"/>
      <c r="G79" s="10"/>
      <c r="H79" s="9">
        <f>E79/$E$7</f>
        <v>1.1792828685258965</v>
      </c>
      <c r="I79" s="10"/>
      <c r="J79" s="10"/>
    </row>
    <row r="80" spans="1:10">
      <c r="A80" s="11"/>
      <c r="B80" s="11"/>
      <c r="C80" s="12"/>
      <c r="D80" s="4" t="s">
        <v>15</v>
      </c>
      <c r="E80" s="2">
        <v>22.6</v>
      </c>
      <c r="F80" s="10"/>
      <c r="G80" s="10"/>
      <c r="H80" s="9">
        <f>E80/$E$8</f>
        <v>1.102439024390244</v>
      </c>
      <c r="I80" s="10"/>
      <c r="J80" s="10"/>
    </row>
    <row r="81" spans="1:10">
      <c r="A81" s="11" t="s">
        <v>9</v>
      </c>
      <c r="B81" s="11">
        <v>3</v>
      </c>
      <c r="C81" s="12"/>
      <c r="D81" s="4" t="s">
        <v>16</v>
      </c>
      <c r="E81" s="2">
        <v>27.3</v>
      </c>
      <c r="F81" s="10">
        <f>AVERAGE(E81:E86)</f>
        <v>33.366666666666667</v>
      </c>
      <c r="G81" s="10">
        <f>STDEV(E81:E86)</f>
        <v>6.4701365261226398</v>
      </c>
      <c r="H81" s="9">
        <f>E81/$E$9</f>
        <v>1.1280991735537191</v>
      </c>
      <c r="I81" s="10">
        <f>AVERAGE(H81:H86)</f>
        <v>1.2722680337056667</v>
      </c>
      <c r="J81" s="10">
        <f>STDEV(H81:H86)</f>
        <v>7.5202601597354327E-2</v>
      </c>
    </row>
    <row r="82" spans="1:10">
      <c r="A82" s="11"/>
      <c r="B82" s="11"/>
      <c r="C82" s="12"/>
      <c r="D82" s="4" t="s">
        <v>17</v>
      </c>
      <c r="E82" s="2">
        <v>29.8</v>
      </c>
      <c r="F82" s="10"/>
      <c r="G82" s="10"/>
      <c r="H82" s="9">
        <f>E82/$E$10</f>
        <v>1.2573839662447257</v>
      </c>
      <c r="I82" s="10"/>
      <c r="J82" s="10"/>
    </row>
    <row r="83" spans="1:10" ht="15.7" customHeight="1">
      <c r="A83" s="11"/>
      <c r="B83" s="11"/>
      <c r="C83" s="12"/>
      <c r="D83" s="4" t="s">
        <v>18</v>
      </c>
      <c r="E83" s="2">
        <v>28.2</v>
      </c>
      <c r="F83" s="10"/>
      <c r="G83" s="10"/>
      <c r="H83" s="9">
        <f>E83/$E$11</f>
        <v>1.3177570093457944</v>
      </c>
      <c r="I83" s="10"/>
      <c r="J83" s="10"/>
    </row>
    <row r="84" spans="1:10">
      <c r="A84" s="11"/>
      <c r="B84" s="11"/>
      <c r="C84" s="12"/>
      <c r="D84" s="4" t="s">
        <v>19</v>
      </c>
      <c r="E84" s="2">
        <v>44.5</v>
      </c>
      <c r="F84" s="10"/>
      <c r="G84" s="10"/>
      <c r="H84" s="9">
        <f>E84/$E$12</f>
        <v>1.3283582089552239</v>
      </c>
      <c r="I84" s="10"/>
      <c r="J84" s="10"/>
    </row>
    <row r="85" spans="1:10">
      <c r="A85" s="11"/>
      <c r="B85" s="11"/>
      <c r="C85" s="12"/>
      <c r="D85" s="4" t="s">
        <v>20</v>
      </c>
      <c r="E85" s="2">
        <v>36.299999999999997</v>
      </c>
      <c r="F85" s="10"/>
      <c r="G85" s="10"/>
      <c r="H85" s="9">
        <f>E85/$E$13</f>
        <v>1.3152173913043477</v>
      </c>
      <c r="I85" s="10"/>
      <c r="J85" s="10"/>
    </row>
    <row r="86" spans="1:10">
      <c r="A86" s="11"/>
      <c r="B86" s="11"/>
      <c r="C86" s="12"/>
      <c r="D86" s="4" t="s">
        <v>21</v>
      </c>
      <c r="E86" s="2">
        <v>34.1</v>
      </c>
      <c r="F86" s="10"/>
      <c r="G86" s="10"/>
      <c r="H86" s="9">
        <f>E86/$E$14</f>
        <v>1.2867924528301888</v>
      </c>
      <c r="I86" s="10"/>
      <c r="J86" s="10"/>
    </row>
    <row r="87" spans="1:10">
      <c r="A87" s="11" t="s">
        <v>9</v>
      </c>
      <c r="B87" s="11">
        <v>9</v>
      </c>
      <c r="C87" s="12"/>
      <c r="D87" s="4" t="s">
        <v>22</v>
      </c>
      <c r="E87" s="2">
        <v>31.9</v>
      </c>
      <c r="F87" s="10">
        <f>AVERAGE(E87:E91)</f>
        <v>33.94</v>
      </c>
      <c r="G87" s="10">
        <f>STDEV(E87:E91)</f>
        <v>4.7426785680668253</v>
      </c>
      <c r="H87" s="9">
        <f>E87/$E$15</f>
        <v>1.463302752293578</v>
      </c>
      <c r="I87" s="10">
        <f>AVERAGE(H87:H91)</f>
        <v>1.3433703412788511</v>
      </c>
      <c r="J87" s="10">
        <f>STDEV(H87:H91)</f>
        <v>9.9477295967129467E-2</v>
      </c>
    </row>
    <row r="88" spans="1:10">
      <c r="A88" s="11"/>
      <c r="B88" s="11"/>
      <c r="C88" s="12"/>
      <c r="D88" s="4" t="s">
        <v>23</v>
      </c>
      <c r="E88" s="2">
        <v>33.200000000000003</v>
      </c>
      <c r="F88" s="10"/>
      <c r="G88" s="10"/>
      <c r="H88" s="9">
        <f>E88/$E$16</f>
        <v>1.2116788321167884</v>
      </c>
      <c r="I88" s="10"/>
      <c r="J88" s="10"/>
    </row>
    <row r="89" spans="1:10">
      <c r="A89" s="11"/>
      <c r="B89" s="11"/>
      <c r="C89" s="12"/>
      <c r="D89" s="4" t="s">
        <v>24</v>
      </c>
      <c r="E89" s="2">
        <v>41.8</v>
      </c>
      <c r="F89" s="10"/>
      <c r="G89" s="10"/>
      <c r="H89" s="9">
        <f>E89/$E$17</f>
        <v>1.4169491525423727</v>
      </c>
      <c r="I89" s="10"/>
      <c r="J89" s="10"/>
    </row>
    <row r="90" spans="1:10">
      <c r="A90" s="11"/>
      <c r="B90" s="11"/>
      <c r="C90" s="12"/>
      <c r="D90" s="4" t="s">
        <v>26</v>
      </c>
      <c r="E90" s="2">
        <v>29.1</v>
      </c>
      <c r="F90" s="10"/>
      <c r="G90" s="10"/>
      <c r="H90" s="9">
        <f>E90/$E$19</f>
        <v>1.3287671232876714</v>
      </c>
      <c r="I90" s="10"/>
      <c r="J90" s="10"/>
    </row>
    <row r="91" spans="1:10">
      <c r="A91" s="11"/>
      <c r="B91" s="11"/>
      <c r="C91" s="12"/>
      <c r="D91" s="4" t="s">
        <v>27</v>
      </c>
      <c r="E91" s="2">
        <v>33.700000000000003</v>
      </c>
      <c r="F91" s="10"/>
      <c r="G91" s="10"/>
      <c r="H91" s="9">
        <f>E91/$E$20</f>
        <v>1.2961538461538462</v>
      </c>
      <c r="I91" s="10"/>
      <c r="J91" s="10"/>
    </row>
    <row r="92" spans="1:10">
      <c r="A92" s="11" t="s">
        <v>9</v>
      </c>
      <c r="B92" s="11">
        <v>1</v>
      </c>
      <c r="C92" s="12" t="s">
        <v>31</v>
      </c>
      <c r="D92" s="4" t="s">
        <v>10</v>
      </c>
      <c r="E92" s="2">
        <v>26</v>
      </c>
      <c r="F92" s="10">
        <f>AVERAGE(E92:E97)</f>
        <v>24.900000000000002</v>
      </c>
      <c r="G92" s="10">
        <f>STDEV(E92:E97)</f>
        <v>3.1616451413781408</v>
      </c>
      <c r="H92" s="9">
        <f>E92/$E$3</f>
        <v>0.91872791519434627</v>
      </c>
      <c r="I92" s="10">
        <f>AVERAGE(H92:H97)</f>
        <v>0.95011876292481279</v>
      </c>
      <c r="J92" s="10">
        <f>STDEV(H92:H97)</f>
        <v>0.10949149176166005</v>
      </c>
    </row>
    <row r="93" spans="1:10">
      <c r="A93" s="11"/>
      <c r="B93" s="11"/>
      <c r="C93" s="12"/>
      <c r="D93" s="4" t="s">
        <v>11</v>
      </c>
      <c r="E93" s="2">
        <v>22</v>
      </c>
      <c r="F93" s="10"/>
      <c r="G93" s="10"/>
      <c r="H93" s="9">
        <f>E93/$E$4</f>
        <v>0.75085324232081907</v>
      </c>
      <c r="I93" s="10"/>
      <c r="J93" s="10"/>
    </row>
    <row r="94" spans="1:10">
      <c r="A94" s="11"/>
      <c r="B94" s="11"/>
      <c r="C94" s="12"/>
      <c r="D94" s="4" t="s">
        <v>12</v>
      </c>
      <c r="E94" s="2">
        <v>30.2</v>
      </c>
      <c r="F94" s="10"/>
      <c r="G94" s="10"/>
      <c r="H94" s="9">
        <f>E94/$E$5</f>
        <v>1.0449826989619377</v>
      </c>
      <c r="I94" s="10"/>
      <c r="J94" s="10"/>
    </row>
    <row r="95" spans="1:10">
      <c r="A95" s="11"/>
      <c r="B95" s="11"/>
      <c r="C95" s="12"/>
      <c r="D95" s="4" t="s">
        <v>13</v>
      </c>
      <c r="E95" s="2">
        <v>25</v>
      </c>
      <c r="F95" s="10"/>
      <c r="G95" s="10"/>
      <c r="H95" s="9">
        <f>E95/$E$6</f>
        <v>0.95419847328244278</v>
      </c>
      <c r="I95" s="10"/>
      <c r="J95" s="10"/>
    </row>
    <row r="96" spans="1:10">
      <c r="A96" s="11"/>
      <c r="B96" s="11"/>
      <c r="C96" s="12"/>
      <c r="D96" s="4" t="s">
        <v>14</v>
      </c>
      <c r="E96" s="2">
        <v>24.8</v>
      </c>
      <c r="F96" s="10"/>
      <c r="G96" s="10"/>
      <c r="H96" s="9">
        <f>E96/$E$7</f>
        <v>0.98804780876494025</v>
      </c>
      <c r="I96" s="10"/>
      <c r="J96" s="10"/>
    </row>
    <row r="97" spans="1:10">
      <c r="A97" s="11"/>
      <c r="B97" s="11"/>
      <c r="C97" s="12"/>
      <c r="D97" s="4" t="s">
        <v>15</v>
      </c>
      <c r="E97" s="2">
        <v>21.4</v>
      </c>
      <c r="F97" s="10"/>
      <c r="G97" s="10"/>
      <c r="H97" s="9">
        <f>E97/$E$8</f>
        <v>1.0439024390243903</v>
      </c>
      <c r="I97" s="10"/>
      <c r="J97" s="10"/>
    </row>
    <row r="98" spans="1:10">
      <c r="A98" s="11" t="s">
        <v>9</v>
      </c>
      <c r="B98" s="11">
        <v>3</v>
      </c>
      <c r="C98" s="12"/>
      <c r="D98" s="4" t="s">
        <v>16</v>
      </c>
      <c r="E98" s="2">
        <v>27.1</v>
      </c>
      <c r="F98" s="10">
        <f>AVERAGE(E98:E103)</f>
        <v>31.166666666666668</v>
      </c>
      <c r="G98" s="10">
        <f>STDEV(E98:E103)</f>
        <v>5.9193468108116916</v>
      </c>
      <c r="H98" s="9">
        <f>E98/$E$9</f>
        <v>1.1198347107438018</v>
      </c>
      <c r="I98" s="10">
        <f>AVERAGE(H98:H103)</f>
        <v>1.1888392866925026</v>
      </c>
      <c r="J98" s="10">
        <f>STDEV(H98:H103)</f>
        <v>5.5584010959673288E-2</v>
      </c>
    </row>
    <row r="99" spans="1:10">
      <c r="A99" s="11"/>
      <c r="B99" s="11"/>
      <c r="C99" s="12"/>
      <c r="D99" s="4" t="s">
        <v>17</v>
      </c>
      <c r="E99" s="2">
        <v>27</v>
      </c>
      <c r="F99" s="10"/>
      <c r="G99" s="10"/>
      <c r="H99" s="9">
        <f>E99/$E$10</f>
        <v>1.139240506329114</v>
      </c>
      <c r="I99" s="10"/>
      <c r="J99" s="10"/>
    </row>
    <row r="100" spans="1:10">
      <c r="A100" s="11"/>
      <c r="B100" s="11"/>
      <c r="C100" s="12"/>
      <c r="D100" s="4" t="s">
        <v>18</v>
      </c>
      <c r="E100" s="2">
        <v>26.5</v>
      </c>
      <c r="F100" s="10"/>
      <c r="G100" s="10"/>
      <c r="H100" s="9">
        <f>E100/$E$11</f>
        <v>1.238317757009346</v>
      </c>
      <c r="I100" s="10"/>
      <c r="J100" s="10"/>
    </row>
    <row r="101" spans="1:10">
      <c r="A101" s="11"/>
      <c r="B101" s="11"/>
      <c r="C101" s="12"/>
      <c r="D101" s="4" t="s">
        <v>19</v>
      </c>
      <c r="E101" s="2">
        <v>42</v>
      </c>
      <c r="F101" s="10"/>
      <c r="G101" s="10"/>
      <c r="H101" s="9">
        <f>E101/$E$12</f>
        <v>1.2537313432835822</v>
      </c>
      <c r="I101" s="10"/>
      <c r="J101" s="10"/>
    </row>
    <row r="102" spans="1:10">
      <c r="A102" s="11"/>
      <c r="B102" s="11"/>
      <c r="C102" s="12"/>
      <c r="D102" s="4" t="s">
        <v>20</v>
      </c>
      <c r="E102" s="2">
        <v>32.1</v>
      </c>
      <c r="F102" s="10"/>
      <c r="G102" s="10"/>
      <c r="H102" s="9">
        <f>E102/$E$13</f>
        <v>1.1630434782608696</v>
      </c>
      <c r="I102" s="10"/>
      <c r="J102" s="10"/>
    </row>
    <row r="103" spans="1:10">
      <c r="A103" s="11"/>
      <c r="B103" s="11"/>
      <c r="C103" s="12"/>
      <c r="D103" s="4" t="s">
        <v>21</v>
      </c>
      <c r="E103" s="2">
        <v>32.299999999999997</v>
      </c>
      <c r="F103" s="10"/>
      <c r="G103" s="10"/>
      <c r="H103" s="9">
        <f>E103/$E$14</f>
        <v>1.2188679245283018</v>
      </c>
      <c r="I103" s="10"/>
      <c r="J103" s="10"/>
    </row>
    <row r="104" spans="1:10">
      <c r="A104" s="11" t="s">
        <v>9</v>
      </c>
      <c r="B104" s="11">
        <v>9</v>
      </c>
      <c r="C104" s="12"/>
      <c r="D104" s="4" t="s">
        <v>22</v>
      </c>
      <c r="E104" s="2">
        <v>29.6</v>
      </c>
      <c r="F104" s="10">
        <f>AVERAGE(E104:E108)</f>
        <v>32.519999999999996</v>
      </c>
      <c r="G104" s="10">
        <f>STDEV(E104:E108)</f>
        <v>5.2589922989105196</v>
      </c>
      <c r="H104" s="9">
        <f>E104/$E$15</f>
        <v>1.3577981651376148</v>
      </c>
      <c r="I104" s="10">
        <f>AVERAGE(H104:H108)</f>
        <v>1.2849774972384942</v>
      </c>
      <c r="J104" s="10">
        <f>STDEV(H104:H108)</f>
        <v>0.10815714374563885</v>
      </c>
    </row>
    <row r="105" spans="1:10">
      <c r="A105" s="11"/>
      <c r="B105" s="11"/>
      <c r="C105" s="12"/>
      <c r="D105" s="4" t="s">
        <v>23</v>
      </c>
      <c r="E105" s="2">
        <v>30.5</v>
      </c>
      <c r="F105" s="10"/>
      <c r="G105" s="10"/>
      <c r="H105" s="9">
        <f>E105/$E$16</f>
        <v>1.113138686131387</v>
      </c>
      <c r="I105" s="10"/>
      <c r="J105" s="10"/>
    </row>
    <row r="106" spans="1:10">
      <c r="A106" s="11"/>
      <c r="B106" s="11"/>
      <c r="C106" s="12"/>
      <c r="D106" s="4" t="s">
        <v>24</v>
      </c>
      <c r="E106" s="2">
        <v>41</v>
      </c>
      <c r="F106" s="10"/>
      <c r="G106" s="10"/>
      <c r="H106" s="9">
        <f>E106/$E$17</f>
        <v>1.3898305084745763</v>
      </c>
      <c r="I106" s="10"/>
      <c r="J106" s="10"/>
    </row>
    <row r="107" spans="1:10">
      <c r="A107" s="11"/>
      <c r="B107" s="11"/>
      <c r="C107" s="12"/>
      <c r="D107" s="4" t="s">
        <v>26</v>
      </c>
      <c r="E107" s="2">
        <v>27.6</v>
      </c>
      <c r="F107" s="10"/>
      <c r="G107" s="10"/>
      <c r="H107" s="9">
        <f>E107/$E$19</f>
        <v>1.2602739726027399</v>
      </c>
      <c r="I107" s="10"/>
      <c r="J107" s="10"/>
    </row>
    <row r="108" spans="1:10">
      <c r="A108" s="11"/>
      <c r="B108" s="11"/>
      <c r="C108" s="12"/>
      <c r="D108" s="4" t="s">
        <v>27</v>
      </c>
      <c r="E108" s="2">
        <v>33.9</v>
      </c>
      <c r="F108" s="10"/>
      <c r="G108" s="10"/>
      <c r="H108" s="9">
        <f>E108/$E$20</f>
        <v>1.3038461538461539</v>
      </c>
      <c r="I108" s="10"/>
      <c r="J108" s="10"/>
    </row>
    <row r="109" spans="1:10">
      <c r="A109" s="11" t="s">
        <v>9</v>
      </c>
      <c r="B109" s="11">
        <v>1</v>
      </c>
      <c r="C109" s="12" t="s">
        <v>32</v>
      </c>
      <c r="D109" s="4" t="s">
        <v>10</v>
      </c>
      <c r="E109" s="2">
        <v>27.5</v>
      </c>
      <c r="F109" s="10">
        <f>AVERAGE(E109:E114)</f>
        <v>26.016666666666669</v>
      </c>
      <c r="G109" s="10">
        <f>STDEV(E109:E114)</f>
        <v>5.0987907063015001</v>
      </c>
      <c r="H109" s="9">
        <f>E109/$E$3</f>
        <v>0.9717314487632509</v>
      </c>
      <c r="I109" s="10">
        <f>AVERAGE(H109:H114)</f>
        <v>0.98776186123355103</v>
      </c>
      <c r="J109" s="10">
        <f>STDEV(H109:H114)</f>
        <v>0.14554504199662222</v>
      </c>
    </row>
    <row r="110" spans="1:10">
      <c r="A110" s="11"/>
      <c r="B110" s="11"/>
      <c r="C110" s="12"/>
      <c r="D110" s="4" t="s">
        <v>11</v>
      </c>
      <c r="E110" s="2">
        <v>24</v>
      </c>
      <c r="F110" s="10"/>
      <c r="G110" s="10"/>
      <c r="H110" s="9">
        <f>E110/$E$4</f>
        <v>0.8191126279863481</v>
      </c>
      <c r="I110" s="10"/>
      <c r="J110" s="10"/>
    </row>
    <row r="111" spans="1:10">
      <c r="A111" s="11"/>
      <c r="B111" s="11"/>
      <c r="C111" s="12"/>
      <c r="D111" s="4" t="s">
        <v>12</v>
      </c>
      <c r="E111" s="2">
        <v>35.700000000000003</v>
      </c>
      <c r="F111" s="10"/>
      <c r="G111" s="10"/>
      <c r="H111" s="9">
        <f>E111/$E$5</f>
        <v>1.2352941176470589</v>
      </c>
      <c r="I111" s="10"/>
      <c r="J111" s="10"/>
    </row>
    <row r="112" spans="1:10">
      <c r="A112" s="11"/>
      <c r="B112" s="11"/>
      <c r="C112" s="12"/>
      <c r="D112" s="4" t="s">
        <v>13</v>
      </c>
      <c r="E112" s="2">
        <v>23.6</v>
      </c>
      <c r="F112" s="10"/>
      <c r="G112" s="10"/>
      <c r="H112" s="9">
        <f>E112/$E$6</f>
        <v>0.90076335877862601</v>
      </c>
      <c r="I112" s="10"/>
      <c r="J112" s="10"/>
    </row>
    <row r="113" spans="1:10">
      <c r="A113" s="11"/>
      <c r="B113" s="11"/>
      <c r="C113" s="12"/>
      <c r="D113" s="4" t="s">
        <v>14</v>
      </c>
      <c r="E113" s="2">
        <v>23.5</v>
      </c>
      <c r="F113" s="10"/>
      <c r="G113" s="10"/>
      <c r="H113" s="9">
        <f>E113/$E$7</f>
        <v>0.93625498007968122</v>
      </c>
      <c r="I113" s="10"/>
      <c r="J113" s="10"/>
    </row>
    <row r="114" spans="1:10">
      <c r="A114" s="11"/>
      <c r="B114" s="11"/>
      <c r="C114" s="12"/>
      <c r="D114" s="4" t="s">
        <v>15</v>
      </c>
      <c r="E114" s="2">
        <v>21.8</v>
      </c>
      <c r="F114" s="10"/>
      <c r="G114" s="10"/>
      <c r="H114" s="9">
        <f>E114/$E$8</f>
        <v>1.0634146341463415</v>
      </c>
      <c r="I114" s="10"/>
      <c r="J114" s="10"/>
    </row>
    <row r="115" spans="1:10">
      <c r="A115" s="11" t="s">
        <v>9</v>
      </c>
      <c r="B115" s="11">
        <v>3</v>
      </c>
      <c r="C115" s="12"/>
      <c r="D115" s="4" t="s">
        <v>16</v>
      </c>
      <c r="E115" s="2">
        <v>28.3</v>
      </c>
      <c r="F115" s="10">
        <f>AVERAGE(E115:E120)</f>
        <v>28.950000000000003</v>
      </c>
      <c r="G115" s="10">
        <f>STDEV(E115:E120)</f>
        <v>3.5646879246295584</v>
      </c>
      <c r="H115" s="9">
        <f>E115/$E$9</f>
        <v>1.1694214876033058</v>
      </c>
      <c r="I115" s="10">
        <f>AVERAGE(H115:H120)</f>
        <v>1.1163984762862844</v>
      </c>
      <c r="J115" s="10">
        <f>STDEV(H115:H120)</f>
        <v>0.10964021191849706</v>
      </c>
    </row>
    <row r="116" spans="1:10">
      <c r="A116" s="11"/>
      <c r="B116" s="11"/>
      <c r="C116" s="12"/>
      <c r="D116" s="4" t="s">
        <v>17</v>
      </c>
      <c r="E116" s="2">
        <v>29.2</v>
      </c>
      <c r="F116" s="10"/>
      <c r="G116" s="10"/>
      <c r="H116" s="9">
        <f>E116/$E$10</f>
        <v>1.2320675105485233</v>
      </c>
      <c r="I116" s="10"/>
      <c r="J116" s="10"/>
    </row>
    <row r="117" spans="1:10">
      <c r="A117" s="11"/>
      <c r="B117" s="11"/>
      <c r="C117" s="12"/>
      <c r="D117" s="4" t="s">
        <v>18</v>
      </c>
      <c r="E117" s="2">
        <v>25.2</v>
      </c>
      <c r="F117" s="10"/>
      <c r="G117" s="10"/>
      <c r="H117" s="9">
        <f>E117/$E$11</f>
        <v>1.1775700934579441</v>
      </c>
      <c r="I117" s="10"/>
      <c r="J117" s="10"/>
    </row>
    <row r="118" spans="1:10">
      <c r="A118" s="11"/>
      <c r="B118" s="11"/>
      <c r="C118" s="12"/>
      <c r="D118" s="4" t="s">
        <v>19</v>
      </c>
      <c r="E118" s="2">
        <v>35</v>
      </c>
      <c r="F118" s="10"/>
      <c r="G118" s="10"/>
      <c r="H118" s="9">
        <f>E118/$E$12</f>
        <v>1.044776119402985</v>
      </c>
      <c r="I118" s="10"/>
      <c r="J118" s="10"/>
    </row>
    <row r="119" spans="1:10">
      <c r="A119" s="11"/>
      <c r="B119" s="11"/>
      <c r="C119" s="12"/>
      <c r="D119" s="4" t="s">
        <v>20</v>
      </c>
      <c r="E119" s="2">
        <v>25.7</v>
      </c>
      <c r="F119" s="10"/>
      <c r="G119" s="10"/>
      <c r="H119" s="9">
        <f>E119/$E$13</f>
        <v>0.93115942028985499</v>
      </c>
      <c r="I119" s="10"/>
      <c r="J119" s="10"/>
    </row>
    <row r="120" spans="1:10">
      <c r="A120" s="11"/>
      <c r="B120" s="11"/>
      <c r="C120" s="12"/>
      <c r="D120" s="4" t="s">
        <v>21</v>
      </c>
      <c r="E120" s="2">
        <v>30.3</v>
      </c>
      <c r="F120" s="10"/>
      <c r="G120" s="10"/>
      <c r="H120" s="9">
        <f>E120/$E$14</f>
        <v>1.1433962264150943</v>
      </c>
      <c r="I120" s="10"/>
      <c r="J120" s="10"/>
    </row>
    <row r="121" spans="1:10">
      <c r="A121" s="11" t="s">
        <v>9</v>
      </c>
      <c r="B121" s="11">
        <v>9</v>
      </c>
      <c r="C121" s="12"/>
      <c r="D121" s="4" t="s">
        <v>22</v>
      </c>
      <c r="E121" s="2">
        <v>29.7</v>
      </c>
      <c r="F121" s="10">
        <f>AVERAGE(E121:E125)</f>
        <v>32.299999999999997</v>
      </c>
      <c r="G121" s="10">
        <f>STDEV(E121:E125)</f>
        <v>4.7265209192385811</v>
      </c>
      <c r="H121" s="9">
        <f>E121/$E$15</f>
        <v>1.3623853211009174</v>
      </c>
      <c r="I121" s="10">
        <f>AVERAGE(H121:H125)</f>
        <v>1.2756473008688352</v>
      </c>
      <c r="J121" s="10">
        <f>STDEV(H121:H125)</f>
        <v>6.7310307384488344E-2</v>
      </c>
    </row>
    <row r="122" spans="1:10">
      <c r="A122" s="11"/>
      <c r="B122" s="11"/>
      <c r="C122" s="12"/>
      <c r="D122" s="4" t="s">
        <v>23</v>
      </c>
      <c r="E122" s="2">
        <v>34.799999999999997</v>
      </c>
      <c r="F122" s="10"/>
      <c r="G122" s="10"/>
      <c r="H122" s="9">
        <f>E122/$E$16</f>
        <v>1.2700729927007299</v>
      </c>
      <c r="I122" s="10"/>
      <c r="J122" s="10"/>
    </row>
    <row r="123" spans="1:10">
      <c r="A123" s="11"/>
      <c r="B123" s="11"/>
      <c r="C123" s="12"/>
      <c r="D123" s="4" t="s">
        <v>24</v>
      </c>
      <c r="E123" s="2">
        <v>39</v>
      </c>
      <c r="F123" s="10"/>
      <c r="G123" s="10"/>
      <c r="H123" s="9">
        <f>E123/$E$17</f>
        <v>1.3220338983050848</v>
      </c>
      <c r="I123" s="10"/>
      <c r="J123" s="10"/>
    </row>
    <row r="124" spans="1:10">
      <c r="A124" s="11"/>
      <c r="B124" s="11"/>
      <c r="C124" s="12"/>
      <c r="D124" s="4" t="s">
        <v>26</v>
      </c>
      <c r="E124" s="2">
        <v>26.8</v>
      </c>
      <c r="F124" s="10"/>
      <c r="G124" s="10"/>
      <c r="H124" s="9">
        <f>E124/$E$19</f>
        <v>1.2237442922374431</v>
      </c>
      <c r="I124" s="10"/>
      <c r="J124" s="10"/>
    </row>
    <row r="125" spans="1:10">
      <c r="A125" s="11"/>
      <c r="B125" s="11"/>
      <c r="C125" s="12"/>
      <c r="D125" s="4" t="s">
        <v>27</v>
      </c>
      <c r="E125" s="2">
        <v>31.2</v>
      </c>
      <c r="F125" s="10"/>
      <c r="G125" s="10"/>
      <c r="H125" s="9">
        <f>E125/$E$20</f>
        <v>1.2</v>
      </c>
      <c r="I125" s="10"/>
      <c r="J125" s="10"/>
    </row>
    <row r="126" spans="1:10">
      <c r="A126" s="11" t="s">
        <v>9</v>
      </c>
      <c r="B126" s="11">
        <v>1</v>
      </c>
      <c r="C126" s="12" t="s">
        <v>33</v>
      </c>
      <c r="D126" s="4" t="s">
        <v>10</v>
      </c>
      <c r="E126" s="2">
        <v>33.5</v>
      </c>
      <c r="F126" s="10">
        <f>AVERAGE(E126:E131)</f>
        <v>27.066666666666663</v>
      </c>
      <c r="G126" s="10">
        <f>STDEV(E126:E131)</f>
        <v>5.2454424662431407</v>
      </c>
      <c r="H126" s="9">
        <f>E126/$E$3</f>
        <v>1.1837455830388692</v>
      </c>
      <c r="I126" s="10">
        <f>AVERAGE(H126:H131)</f>
        <v>1.0274793060286684</v>
      </c>
      <c r="J126" s="10">
        <f>STDEV(H126:H131)</f>
        <v>0.14896392771433659</v>
      </c>
    </row>
    <row r="127" spans="1:10">
      <c r="A127" s="11"/>
      <c r="B127" s="11"/>
      <c r="C127" s="12"/>
      <c r="D127" s="4" t="s">
        <v>11</v>
      </c>
      <c r="E127" s="2">
        <v>23.2</v>
      </c>
      <c r="F127" s="10"/>
      <c r="G127" s="10"/>
      <c r="H127" s="9">
        <f>E127/$E$4</f>
        <v>0.79180887372013653</v>
      </c>
      <c r="I127" s="10"/>
      <c r="J127" s="10"/>
    </row>
    <row r="128" spans="1:10">
      <c r="A128" s="11"/>
      <c r="B128" s="11"/>
      <c r="C128" s="12"/>
      <c r="D128" s="4" t="s">
        <v>12</v>
      </c>
      <c r="E128" s="2">
        <v>33.9</v>
      </c>
      <c r="F128" s="10"/>
      <c r="G128" s="10"/>
      <c r="H128" s="9">
        <f>E128/$E$5</f>
        <v>1.1730103806228374</v>
      </c>
      <c r="I128" s="10"/>
      <c r="J128" s="10"/>
    </row>
    <row r="129" spans="1:10">
      <c r="A129" s="11"/>
      <c r="B129" s="11"/>
      <c r="C129" s="12"/>
      <c r="D129" s="4" t="s">
        <v>13</v>
      </c>
      <c r="E129" s="2">
        <v>25</v>
      </c>
      <c r="F129" s="10"/>
      <c r="G129" s="10"/>
      <c r="H129" s="9">
        <f>E129/$E$6</f>
        <v>0.95419847328244278</v>
      </c>
      <c r="I129" s="10"/>
      <c r="J129" s="10"/>
    </row>
    <row r="130" spans="1:10">
      <c r="A130" s="11"/>
      <c r="B130" s="11"/>
      <c r="C130" s="12"/>
      <c r="D130" s="4" t="s">
        <v>14</v>
      </c>
      <c r="E130" s="2">
        <v>24.7</v>
      </c>
      <c r="F130" s="10"/>
      <c r="G130" s="10"/>
      <c r="H130" s="9">
        <f>E130/$E$7</f>
        <v>0.98406374501992022</v>
      </c>
      <c r="I130" s="10"/>
      <c r="J130" s="10"/>
    </row>
    <row r="131" spans="1:10">
      <c r="A131" s="11"/>
      <c r="B131" s="11"/>
      <c r="C131" s="12"/>
      <c r="D131" s="4" t="s">
        <v>15</v>
      </c>
      <c r="E131" s="2">
        <v>22.1</v>
      </c>
      <c r="F131" s="10"/>
      <c r="G131" s="10"/>
      <c r="H131" s="9">
        <f>E131/$E$8</f>
        <v>1.0780487804878049</v>
      </c>
      <c r="I131" s="10"/>
      <c r="J131" s="10"/>
    </row>
    <row r="132" spans="1:10">
      <c r="A132" s="11" t="s">
        <v>9</v>
      </c>
      <c r="B132" s="11">
        <v>3</v>
      </c>
      <c r="C132" s="12"/>
      <c r="D132" s="4" t="s">
        <v>16</v>
      </c>
      <c r="E132" s="2">
        <v>26.8</v>
      </c>
      <c r="F132" s="10">
        <f>AVERAGE(E132:E137)</f>
        <v>29.183333333333334</v>
      </c>
      <c r="G132" s="10">
        <f>STDEV(E132:E137)</f>
        <v>4.5265512994626214</v>
      </c>
      <c r="H132" s="9">
        <f>E132/$E$9</f>
        <v>1.1074380165289257</v>
      </c>
      <c r="I132" s="10">
        <f>AVERAGE(H132:H137)</f>
        <v>1.2271497650638683</v>
      </c>
      <c r="J132" s="10">
        <f>STDEV(H132:H137)</f>
        <v>0.28368128744113008</v>
      </c>
    </row>
    <row r="133" spans="1:10">
      <c r="A133" s="11"/>
      <c r="B133" s="11"/>
      <c r="C133" s="12"/>
      <c r="D133" s="4" t="s">
        <v>17</v>
      </c>
      <c r="E133" s="2">
        <v>26.4</v>
      </c>
      <c r="F133" s="10"/>
      <c r="G133" s="10"/>
      <c r="H133" s="9">
        <f>E133/$E$10</f>
        <v>1.1139240506329113</v>
      </c>
      <c r="I133" s="10"/>
      <c r="J133" s="10"/>
    </row>
    <row r="134" spans="1:10">
      <c r="A134" s="11"/>
      <c r="B134" s="11"/>
      <c r="C134" s="12"/>
      <c r="D134" s="4" t="s">
        <v>18</v>
      </c>
      <c r="E134" s="2">
        <v>26.9</v>
      </c>
      <c r="F134" s="10"/>
      <c r="G134" s="10"/>
      <c r="H134" s="9">
        <f>E134/$E$11</f>
        <v>1.2570093457943925</v>
      </c>
      <c r="I134" s="10"/>
      <c r="J134" s="10"/>
    </row>
    <row r="135" spans="1:10">
      <c r="A135" s="11"/>
      <c r="B135" s="11"/>
      <c r="C135" s="12"/>
      <c r="D135" s="7" t="s">
        <v>19</v>
      </c>
      <c r="E135" s="8">
        <v>38.200000000000003</v>
      </c>
      <c r="F135" s="10"/>
      <c r="G135" s="10"/>
      <c r="H135" s="9">
        <f>E135/$E$11</f>
        <v>1.7850467289719629</v>
      </c>
      <c r="I135" s="10"/>
      <c r="J135" s="10"/>
    </row>
    <row r="136" spans="1:10">
      <c r="A136" s="11"/>
      <c r="B136" s="11"/>
      <c r="C136" s="12"/>
      <c r="D136" s="4" t="s">
        <v>20</v>
      </c>
      <c r="E136" s="2">
        <v>29.2</v>
      </c>
      <c r="F136" s="10"/>
      <c r="G136" s="10"/>
      <c r="H136" s="9">
        <f>E136/$E$13</f>
        <v>1.0579710144927534</v>
      </c>
      <c r="I136" s="10"/>
      <c r="J136" s="10"/>
    </row>
    <row r="137" spans="1:10">
      <c r="A137" s="11"/>
      <c r="B137" s="11"/>
      <c r="C137" s="12"/>
      <c r="D137" s="4" t="s">
        <v>21</v>
      </c>
      <c r="E137" s="2">
        <v>27.6</v>
      </c>
      <c r="F137" s="10"/>
      <c r="G137" s="10"/>
      <c r="H137" s="9">
        <f>E137/$E$14</f>
        <v>1.0415094339622641</v>
      </c>
      <c r="I137" s="10"/>
      <c r="J137" s="10"/>
    </row>
    <row r="138" spans="1:10">
      <c r="A138" s="11" t="s">
        <v>9</v>
      </c>
      <c r="B138" s="11">
        <v>9</v>
      </c>
      <c r="C138" s="12"/>
      <c r="D138" s="4" t="s">
        <v>22</v>
      </c>
      <c r="E138" s="2">
        <v>29.5</v>
      </c>
      <c r="F138" s="10">
        <f>AVERAGE(E138:E142)</f>
        <v>32.880000000000003</v>
      </c>
      <c r="G138" s="10">
        <f>STDEV(E138:E142)</f>
        <v>4.5185174559804615</v>
      </c>
      <c r="H138" s="9">
        <f>E138/$E$15</f>
        <v>1.3532110091743119</v>
      </c>
      <c r="I138" s="10">
        <f>AVERAGE(H138:H142)</f>
        <v>1.2991659874397874</v>
      </c>
      <c r="J138" s="10">
        <f>STDEV(H138:H142)</f>
        <v>5.0000439143958082E-2</v>
      </c>
    </row>
    <row r="139" spans="1:10">
      <c r="A139" s="11"/>
      <c r="B139" s="11"/>
      <c r="C139" s="12"/>
      <c r="D139" s="4" t="s">
        <v>23</v>
      </c>
      <c r="E139" s="2">
        <v>33.700000000000003</v>
      </c>
      <c r="F139" s="10"/>
      <c r="G139" s="10"/>
      <c r="H139" s="9">
        <f>E139/$E$16</f>
        <v>1.2299270072992703</v>
      </c>
      <c r="I139" s="10"/>
      <c r="J139" s="10"/>
    </row>
    <row r="140" spans="1:10">
      <c r="A140" s="11"/>
      <c r="B140" s="11"/>
      <c r="C140" s="12"/>
      <c r="D140" s="4" t="s">
        <v>24</v>
      </c>
      <c r="E140" s="2">
        <v>39.4</v>
      </c>
      <c r="F140" s="10"/>
      <c r="G140" s="10"/>
      <c r="H140" s="9">
        <f>E140/$E$17</f>
        <v>1.3355932203389831</v>
      </c>
      <c r="I140" s="10"/>
      <c r="J140" s="10"/>
    </row>
    <row r="141" spans="1:10">
      <c r="A141" s="11"/>
      <c r="B141" s="11"/>
      <c r="C141" s="12"/>
      <c r="D141" s="4" t="s">
        <v>26</v>
      </c>
      <c r="E141" s="2">
        <v>27.8</v>
      </c>
      <c r="F141" s="10"/>
      <c r="G141" s="10"/>
      <c r="H141" s="9">
        <f>E141/$E$19</f>
        <v>1.269406392694064</v>
      </c>
      <c r="I141" s="10"/>
      <c r="J141" s="10"/>
    </row>
    <row r="142" spans="1:10">
      <c r="A142" s="11"/>
      <c r="B142" s="11"/>
      <c r="C142" s="12"/>
      <c r="D142" s="4" t="s">
        <v>27</v>
      </c>
      <c r="E142" s="2">
        <v>34</v>
      </c>
      <c r="F142" s="10"/>
      <c r="G142" s="10"/>
      <c r="H142" s="9">
        <f>E142/$E$20</f>
        <v>1.3076923076923077</v>
      </c>
      <c r="I142" s="10"/>
      <c r="J142" s="10"/>
    </row>
    <row r="143" spans="1:10">
      <c r="A143" s="11" t="s">
        <v>9</v>
      </c>
      <c r="B143" s="11">
        <v>1</v>
      </c>
      <c r="C143" s="12" t="s">
        <v>34</v>
      </c>
      <c r="D143" s="4" t="s">
        <v>10</v>
      </c>
      <c r="E143" s="2">
        <v>25.1</v>
      </c>
      <c r="F143" s="10">
        <f>AVERAGE(E143:E148)</f>
        <v>25.216666666666665</v>
      </c>
      <c r="G143" s="10">
        <f>STDEV(E143:E148)</f>
        <v>3.1218050334168801</v>
      </c>
      <c r="H143" s="9">
        <f>E143/$E$3</f>
        <v>0.88692579505300351</v>
      </c>
      <c r="I143" s="10">
        <f>AVERAGE(H143:H148)</f>
        <v>0.96442801292062919</v>
      </c>
      <c r="J143" s="10">
        <f>STDEV(H143:H148)</f>
        <v>0.13138197650190572</v>
      </c>
    </row>
    <row r="144" spans="1:10">
      <c r="A144" s="11"/>
      <c r="B144" s="11"/>
      <c r="C144" s="12"/>
      <c r="D144" s="4" t="s">
        <v>11</v>
      </c>
      <c r="E144" s="2">
        <v>22.3</v>
      </c>
      <c r="F144" s="10"/>
      <c r="G144" s="10"/>
      <c r="H144" s="9">
        <f>E144/$E$4</f>
        <v>0.76109215017064846</v>
      </c>
      <c r="I144" s="10"/>
      <c r="J144" s="10"/>
    </row>
    <row r="145" spans="1:10">
      <c r="A145" s="11"/>
      <c r="B145" s="11"/>
      <c r="C145" s="12"/>
      <c r="D145" s="4" t="s">
        <v>12</v>
      </c>
      <c r="E145" s="2">
        <v>28.7</v>
      </c>
      <c r="F145" s="10"/>
      <c r="G145" s="10"/>
      <c r="H145" s="9">
        <f>E145/$E$5</f>
        <v>0.99307958477508651</v>
      </c>
      <c r="I145" s="10"/>
      <c r="J145" s="10"/>
    </row>
    <row r="146" spans="1:10">
      <c r="A146" s="11"/>
      <c r="B146" s="11"/>
      <c r="C146" s="12"/>
      <c r="D146" s="4" t="s">
        <v>13</v>
      </c>
      <c r="E146" s="2">
        <v>29.3</v>
      </c>
      <c r="F146" s="10"/>
      <c r="G146" s="10"/>
      <c r="H146" s="9">
        <f>E146/$E$6</f>
        <v>1.1183206106870229</v>
      </c>
      <c r="I146" s="10"/>
      <c r="J146" s="10"/>
    </row>
    <row r="147" spans="1:10">
      <c r="A147" s="11"/>
      <c r="B147" s="11"/>
      <c r="C147" s="12"/>
      <c r="D147" s="4" t="s">
        <v>14</v>
      </c>
      <c r="E147" s="2">
        <v>23.7</v>
      </c>
      <c r="F147" s="10"/>
      <c r="G147" s="10"/>
      <c r="H147" s="9">
        <f>E147/$E$7</f>
        <v>0.94422310756972105</v>
      </c>
      <c r="I147" s="10"/>
      <c r="J147" s="10"/>
    </row>
    <row r="148" spans="1:10">
      <c r="A148" s="11"/>
      <c r="B148" s="11"/>
      <c r="C148" s="12"/>
      <c r="D148" s="4" t="s">
        <v>15</v>
      </c>
      <c r="E148" s="2">
        <v>22.2</v>
      </c>
      <c r="F148" s="10"/>
      <c r="G148" s="10"/>
      <c r="H148" s="9">
        <f>E148/$E$8</f>
        <v>1.0829268292682928</v>
      </c>
      <c r="I148" s="10"/>
      <c r="J148" s="10"/>
    </row>
    <row r="149" spans="1:10">
      <c r="A149" s="11" t="s">
        <v>9</v>
      </c>
      <c r="B149" s="11">
        <v>3</v>
      </c>
      <c r="C149" s="12"/>
      <c r="D149" s="4" t="s">
        <v>16</v>
      </c>
      <c r="E149" s="2">
        <v>24.7</v>
      </c>
      <c r="F149" s="10">
        <f>AVERAGE(E149:E154)</f>
        <v>28.316666666666666</v>
      </c>
      <c r="G149" s="10">
        <f>STDEV(E149:E154)</f>
        <v>4.1815866207298225</v>
      </c>
      <c r="H149" s="9">
        <f>E149/$E$9</f>
        <v>1.0206611570247934</v>
      </c>
      <c r="I149" s="10">
        <f>AVERAGE(H149:H154)</f>
        <v>1.0865371863219786</v>
      </c>
      <c r="J149" s="10">
        <f>STDEV(H149:H154)</f>
        <v>7.1856703631772503E-2</v>
      </c>
    </row>
    <row r="150" spans="1:10">
      <c r="A150" s="11"/>
      <c r="B150" s="11"/>
      <c r="C150" s="12"/>
      <c r="D150" s="4" t="s">
        <v>17</v>
      </c>
      <c r="E150" s="2">
        <v>24.6</v>
      </c>
      <c r="F150" s="10"/>
      <c r="G150" s="10"/>
      <c r="H150" s="9">
        <f>E150/$E$10</f>
        <v>1.0379746835443038</v>
      </c>
      <c r="I150" s="10"/>
      <c r="J150" s="10"/>
    </row>
    <row r="151" spans="1:10">
      <c r="A151" s="11"/>
      <c r="B151" s="11"/>
      <c r="C151" s="12"/>
      <c r="D151" s="4" t="s">
        <v>18</v>
      </c>
      <c r="E151" s="2">
        <v>26.1</v>
      </c>
      <c r="F151" s="10"/>
      <c r="G151" s="10"/>
      <c r="H151" s="9">
        <f>E151/$E$11</f>
        <v>1.2196261682242993</v>
      </c>
      <c r="I151" s="10"/>
      <c r="J151" s="10"/>
    </row>
    <row r="152" spans="1:10">
      <c r="A152" s="11"/>
      <c r="B152" s="11"/>
      <c r="C152" s="12"/>
      <c r="D152" s="4" t="s">
        <v>19</v>
      </c>
      <c r="E152" s="2">
        <v>35.6</v>
      </c>
      <c r="F152" s="10"/>
      <c r="G152" s="10"/>
      <c r="H152" s="9">
        <f>E152/$E$12</f>
        <v>1.0626865671641792</v>
      </c>
      <c r="I152" s="10"/>
      <c r="J152" s="10"/>
    </row>
    <row r="153" spans="1:10">
      <c r="A153" s="11"/>
      <c r="B153" s="11"/>
      <c r="C153" s="12"/>
      <c r="D153" s="4" t="s">
        <v>20</v>
      </c>
      <c r="E153" s="2">
        <v>29.5</v>
      </c>
      <c r="F153" s="10"/>
      <c r="G153" s="10"/>
      <c r="H153" s="9">
        <f>E153/$E$13</f>
        <v>1.0688405797101448</v>
      </c>
      <c r="I153" s="10"/>
      <c r="J153" s="10"/>
    </row>
    <row r="154" spans="1:10">
      <c r="A154" s="11"/>
      <c r="B154" s="11"/>
      <c r="C154" s="12"/>
      <c r="D154" s="4" t="s">
        <v>21</v>
      </c>
      <c r="E154" s="2">
        <v>29.4</v>
      </c>
      <c r="F154" s="10"/>
      <c r="G154" s="10"/>
      <c r="H154" s="9">
        <f>E154/$E$14</f>
        <v>1.1094339622641509</v>
      </c>
      <c r="I154" s="10"/>
      <c r="J154" s="10"/>
    </row>
    <row r="155" spans="1:10">
      <c r="A155" s="11" t="s">
        <v>9</v>
      </c>
      <c r="B155" s="11">
        <v>9</v>
      </c>
      <c r="C155" s="12"/>
      <c r="D155" s="4" t="s">
        <v>22</v>
      </c>
      <c r="E155" s="2">
        <v>26</v>
      </c>
      <c r="F155" s="10">
        <f>AVERAGE(E155:E159)</f>
        <v>29.940000000000005</v>
      </c>
      <c r="G155" s="10">
        <f>STDEV(E155:E159)</f>
        <v>4.0134772953138711</v>
      </c>
      <c r="H155" s="9">
        <f>E155/$E$15</f>
        <v>1.1926605504587156</v>
      </c>
      <c r="I155" s="10">
        <f>AVERAGE(H155:H159)</f>
        <v>1.1861297397246946</v>
      </c>
      <c r="J155" s="10">
        <f>STDEV(H155:H159)</f>
        <v>9.3684432412460689E-2</v>
      </c>
    </row>
    <row r="156" spans="1:10">
      <c r="A156" s="11"/>
      <c r="B156" s="11"/>
      <c r="C156" s="12"/>
      <c r="D156" s="4" t="s">
        <v>23</v>
      </c>
      <c r="E156" s="2">
        <v>29.6</v>
      </c>
      <c r="F156" s="10"/>
      <c r="G156" s="10"/>
      <c r="H156" s="9">
        <f>E156/$E$16</f>
        <v>1.0802919708029197</v>
      </c>
      <c r="I156" s="10"/>
      <c r="J156" s="10"/>
    </row>
    <row r="157" spans="1:10">
      <c r="A157" s="11"/>
      <c r="B157" s="11"/>
      <c r="C157" s="12"/>
      <c r="D157" s="4" t="s">
        <v>24</v>
      </c>
      <c r="E157" s="2">
        <v>36.700000000000003</v>
      </c>
      <c r="F157" s="10"/>
      <c r="G157" s="10"/>
      <c r="H157" s="9">
        <f>E157/$E$17</f>
        <v>1.2440677966101696</v>
      </c>
      <c r="I157" s="10"/>
      <c r="J157" s="10"/>
    </row>
    <row r="158" spans="1:10">
      <c r="A158" s="11"/>
      <c r="B158" s="11"/>
      <c r="C158" s="12"/>
      <c r="D158" s="4" t="s">
        <v>26</v>
      </c>
      <c r="E158" s="2">
        <v>28.6</v>
      </c>
      <c r="F158" s="10"/>
      <c r="G158" s="10"/>
      <c r="H158" s="9">
        <f>E158/$E$19</f>
        <v>1.305936073059361</v>
      </c>
      <c r="I158" s="10"/>
      <c r="J158" s="10"/>
    </row>
    <row r="159" spans="1:10">
      <c r="A159" s="11"/>
      <c r="B159" s="11"/>
      <c r="C159" s="12"/>
      <c r="D159" s="4" t="s">
        <v>27</v>
      </c>
      <c r="E159" s="2">
        <v>28.8</v>
      </c>
      <c r="F159" s="10"/>
      <c r="G159" s="10"/>
      <c r="H159" s="9">
        <f>E159/$E$20</f>
        <v>1.1076923076923078</v>
      </c>
      <c r="I159" s="10"/>
      <c r="J159" s="10"/>
    </row>
    <row r="160" spans="1:10">
      <c r="A160" s="11" t="s">
        <v>9</v>
      </c>
      <c r="B160" s="11">
        <v>9</v>
      </c>
      <c r="C160" s="12" t="s">
        <v>35</v>
      </c>
      <c r="D160" s="4" t="s">
        <v>22</v>
      </c>
      <c r="E160" s="2">
        <v>22.7</v>
      </c>
      <c r="F160" s="10">
        <f>AVERAGE(E160:E164)</f>
        <v>25.4</v>
      </c>
      <c r="G160" s="10">
        <f>STDEV(E160:E164)</f>
        <v>3.5972211497209816</v>
      </c>
      <c r="H160" s="9">
        <f>E160/$E$15</f>
        <v>1.0412844036697246</v>
      </c>
      <c r="I160" s="10">
        <f>AVERAGE(H160:H164)</f>
        <v>1.0082165453498388</v>
      </c>
      <c r="J160" s="10">
        <f>STDEV(H160:H164)</f>
        <v>0.11090455987032516</v>
      </c>
    </row>
    <row r="161" spans="1:10">
      <c r="A161" s="11"/>
      <c r="B161" s="11"/>
      <c r="C161" s="12"/>
      <c r="D161" s="4" t="s">
        <v>23</v>
      </c>
      <c r="E161" s="2">
        <v>23.1</v>
      </c>
      <c r="F161" s="10"/>
      <c r="G161" s="10"/>
      <c r="H161" s="9">
        <f>E161/$E$16</f>
        <v>0.84306569343065707</v>
      </c>
      <c r="I161" s="10"/>
      <c r="J161" s="10"/>
    </row>
    <row r="162" spans="1:10">
      <c r="A162" s="11"/>
      <c r="B162" s="11"/>
      <c r="C162" s="12"/>
      <c r="D162" s="4" t="s">
        <v>24</v>
      </c>
      <c r="E162" s="2">
        <v>31.6</v>
      </c>
      <c r="F162" s="10"/>
      <c r="G162" s="10"/>
      <c r="H162" s="9">
        <f>E162/$E$17</f>
        <v>1.0711864406779661</v>
      </c>
      <c r="I162" s="10"/>
      <c r="J162" s="10"/>
    </row>
    <row r="163" spans="1:10">
      <c r="A163" s="11"/>
      <c r="B163" s="11"/>
      <c r="C163" s="12"/>
      <c r="D163" s="4" t="s">
        <v>26</v>
      </c>
      <c r="E163" s="2">
        <v>24.7</v>
      </c>
      <c r="F163" s="10"/>
      <c r="G163" s="10"/>
      <c r="H163" s="9">
        <f>E163/$E$19</f>
        <v>1.1278538812785388</v>
      </c>
      <c r="I163" s="10"/>
      <c r="J163" s="10"/>
    </row>
    <row r="164" spans="1:10">
      <c r="A164" s="11"/>
      <c r="B164" s="11"/>
      <c r="C164" s="12"/>
      <c r="D164" s="4" t="s">
        <v>27</v>
      </c>
      <c r="E164" s="2">
        <v>24.9</v>
      </c>
      <c r="F164" s="10"/>
      <c r="G164" s="10"/>
      <c r="H164" s="9">
        <f>E164/$E$20</f>
        <v>0.95769230769230762</v>
      </c>
      <c r="I164" s="10"/>
      <c r="J164" s="10"/>
    </row>
    <row r="165" spans="1:10" ht="15.75">
      <c r="A165" s="18" t="s">
        <v>38</v>
      </c>
      <c r="B165" s="18"/>
      <c r="C165" s="18"/>
      <c r="D165" s="18"/>
      <c r="E165" s="18"/>
      <c r="F165" s="18"/>
      <c r="G165" s="18"/>
      <c r="H165" s="18"/>
      <c r="I165" s="18"/>
      <c r="J165" s="18"/>
    </row>
  </sheetData>
  <mergeCells count="189">
    <mergeCell ref="A165:J165"/>
    <mergeCell ref="A98:A103"/>
    <mergeCell ref="B98:B103"/>
    <mergeCell ref="A104:A108"/>
    <mergeCell ref="B104:B108"/>
    <mergeCell ref="F51:F56"/>
    <mergeCell ref="C92:C108"/>
    <mergeCell ref="F104:F108"/>
    <mergeCell ref="G104:G108"/>
    <mergeCell ref="I63:I68"/>
    <mergeCell ref="G15:G20"/>
    <mergeCell ref="J9:J14"/>
    <mergeCell ref="J15:J20"/>
    <mergeCell ref="A1:A2"/>
    <mergeCell ref="B1:B2"/>
    <mergeCell ref="C1:C2"/>
    <mergeCell ref="D1:D2"/>
    <mergeCell ref="E1:E2"/>
    <mergeCell ref="F1:F2"/>
    <mergeCell ref="C3:C20"/>
    <mergeCell ref="F3:F8"/>
    <mergeCell ref="F9:F14"/>
    <mergeCell ref="F15:F20"/>
    <mergeCell ref="A3:A8"/>
    <mergeCell ref="B3:B8"/>
    <mergeCell ref="A9:A14"/>
    <mergeCell ref="B9:B14"/>
    <mergeCell ref="A15:A20"/>
    <mergeCell ref="I3:I8"/>
    <mergeCell ref="J3:J8"/>
    <mergeCell ref="I9:I14"/>
    <mergeCell ref="I15:I20"/>
    <mergeCell ref="I45:I50"/>
    <mergeCell ref="J33:J38"/>
    <mergeCell ref="A39:A44"/>
    <mergeCell ref="F92:F97"/>
    <mergeCell ref="G92:G97"/>
    <mergeCell ref="A21:A26"/>
    <mergeCell ref="A27:A32"/>
    <mergeCell ref="G27:G32"/>
    <mergeCell ref="A33:A38"/>
    <mergeCell ref="B33:B38"/>
    <mergeCell ref="F33:F38"/>
    <mergeCell ref="G33:G38"/>
    <mergeCell ref="G51:G56"/>
    <mergeCell ref="I51:I56"/>
    <mergeCell ref="I81:I86"/>
    <mergeCell ref="A45:A50"/>
    <mergeCell ref="B45:B50"/>
    <mergeCell ref="F45:F50"/>
    <mergeCell ref="G45:G50"/>
    <mergeCell ref="G3:G8"/>
    <mergeCell ref="G9:G14"/>
    <mergeCell ref="G1:G2"/>
    <mergeCell ref="H1:H2"/>
    <mergeCell ref="I1:I2"/>
    <mergeCell ref="J1:J2"/>
    <mergeCell ref="B39:B44"/>
    <mergeCell ref="C39:C56"/>
    <mergeCell ref="F39:F44"/>
    <mergeCell ref="G39:G44"/>
    <mergeCell ref="I39:I44"/>
    <mergeCell ref="J39:J44"/>
    <mergeCell ref="I21:I26"/>
    <mergeCell ref="I27:I32"/>
    <mergeCell ref="I33:I38"/>
    <mergeCell ref="J45:J50"/>
    <mergeCell ref="J51:J56"/>
    <mergeCell ref="B15:B20"/>
    <mergeCell ref="B21:B26"/>
    <mergeCell ref="J21:J26"/>
    <mergeCell ref="J27:J32"/>
    <mergeCell ref="C21:C38"/>
    <mergeCell ref="F21:F26"/>
    <mergeCell ref="G21:G26"/>
    <mergeCell ref="B27:B32"/>
    <mergeCell ref="F27:F32"/>
    <mergeCell ref="J57:J62"/>
    <mergeCell ref="A92:A97"/>
    <mergeCell ref="B92:B97"/>
    <mergeCell ref="A51:A56"/>
    <mergeCell ref="B51:B56"/>
    <mergeCell ref="A57:A62"/>
    <mergeCell ref="B57:B62"/>
    <mergeCell ref="F57:F62"/>
    <mergeCell ref="G57:G62"/>
    <mergeCell ref="I57:I62"/>
    <mergeCell ref="I92:I97"/>
    <mergeCell ref="G69:G74"/>
    <mergeCell ref="I69:I74"/>
    <mergeCell ref="F75:F80"/>
    <mergeCell ref="G75:G80"/>
    <mergeCell ref="I75:I80"/>
    <mergeCell ref="J75:J80"/>
    <mergeCell ref="F81:F86"/>
    <mergeCell ref="G81:G86"/>
    <mergeCell ref="F63:F68"/>
    <mergeCell ref="G63:G68"/>
    <mergeCell ref="J63:J68"/>
    <mergeCell ref="F69:F74"/>
    <mergeCell ref="A75:A80"/>
    <mergeCell ref="B75:B80"/>
    <mergeCell ref="C75:C91"/>
    <mergeCell ref="A81:A86"/>
    <mergeCell ref="B81:B86"/>
    <mergeCell ref="A63:A68"/>
    <mergeCell ref="B63:B68"/>
    <mergeCell ref="A69:A74"/>
    <mergeCell ref="B69:B74"/>
    <mergeCell ref="C57:C74"/>
    <mergeCell ref="F109:F114"/>
    <mergeCell ref="G109:G114"/>
    <mergeCell ref="I109:I114"/>
    <mergeCell ref="J109:J114"/>
    <mergeCell ref="F98:F103"/>
    <mergeCell ref="G98:G103"/>
    <mergeCell ref="I98:I103"/>
    <mergeCell ref="J98:J103"/>
    <mergeCell ref="J104:J108"/>
    <mergeCell ref="I104:I108"/>
    <mergeCell ref="J69:J74"/>
    <mergeCell ref="F132:F137"/>
    <mergeCell ref="G132:G137"/>
    <mergeCell ref="I132:I137"/>
    <mergeCell ref="J132:J137"/>
    <mergeCell ref="A138:A142"/>
    <mergeCell ref="B138:B142"/>
    <mergeCell ref="J81:J86"/>
    <mergeCell ref="A87:A91"/>
    <mergeCell ref="B87:B91"/>
    <mergeCell ref="F87:F91"/>
    <mergeCell ref="G87:G91"/>
    <mergeCell ref="I87:I91"/>
    <mergeCell ref="J87:J91"/>
    <mergeCell ref="F115:F120"/>
    <mergeCell ref="G115:G120"/>
    <mergeCell ref="I115:I120"/>
    <mergeCell ref="J115:J120"/>
    <mergeCell ref="J92:J97"/>
    <mergeCell ref="A109:A114"/>
    <mergeCell ref="B109:B114"/>
    <mergeCell ref="C109:C125"/>
    <mergeCell ref="A115:A120"/>
    <mergeCell ref="B115:B120"/>
    <mergeCell ref="C160:C164"/>
    <mergeCell ref="A160:A164"/>
    <mergeCell ref="B160:B164"/>
    <mergeCell ref="F160:F164"/>
    <mergeCell ref="G160:G164"/>
    <mergeCell ref="I160:I164"/>
    <mergeCell ref="J160:J164"/>
    <mergeCell ref="A143:A148"/>
    <mergeCell ref="B143:B148"/>
    <mergeCell ref="C143:C159"/>
    <mergeCell ref="F143:F148"/>
    <mergeCell ref="G143:G148"/>
    <mergeCell ref="I143:I148"/>
    <mergeCell ref="J143:J148"/>
    <mergeCell ref="A149:A154"/>
    <mergeCell ref="B149:B154"/>
    <mergeCell ref="F149:F154"/>
    <mergeCell ref="G149:G154"/>
    <mergeCell ref="I149:I154"/>
    <mergeCell ref="G155:G159"/>
    <mergeCell ref="I155:I159"/>
    <mergeCell ref="J155:J159"/>
    <mergeCell ref="J149:J154"/>
    <mergeCell ref="B155:B159"/>
    <mergeCell ref="F155:F159"/>
    <mergeCell ref="F138:F142"/>
    <mergeCell ref="G138:G142"/>
    <mergeCell ref="I138:I142"/>
    <mergeCell ref="J138:J142"/>
    <mergeCell ref="A121:A125"/>
    <mergeCell ref="B121:B125"/>
    <mergeCell ref="F121:F125"/>
    <mergeCell ref="G121:G125"/>
    <mergeCell ref="I121:I125"/>
    <mergeCell ref="J121:J125"/>
    <mergeCell ref="A126:A131"/>
    <mergeCell ref="B126:B131"/>
    <mergeCell ref="C126:C142"/>
    <mergeCell ref="F126:F131"/>
    <mergeCell ref="G126:G131"/>
    <mergeCell ref="I126:I131"/>
    <mergeCell ref="J126:J131"/>
    <mergeCell ref="A132:A137"/>
    <mergeCell ref="B132:B137"/>
    <mergeCell ref="A155:A159"/>
  </mergeCells>
  <phoneticPr fontId="18" type="noConversion"/>
  <printOptions headings="1" gridLines="1"/>
  <pageMargins left="0.7" right="0.7" top="0.75" bottom="0.75" header="0.3" footer="0.3"/>
  <pageSetup paperSize="9" scale="2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D749D3054A6A3E45A1409D37FBA9A60E" ma:contentTypeVersion="2" ma:contentTypeDescription="新建文档。" ma:contentTypeScope="" ma:versionID="cbd18111a1c8dc3de22a3b951f41e0cd">
  <xsd:schema xmlns:xsd="http://www.w3.org/2001/XMLSchema" xmlns:xs="http://www.w3.org/2001/XMLSchema" xmlns:p="http://schemas.microsoft.com/office/2006/metadata/properties" xmlns:ns2="bcc271c3-e469-45aa-bc65-ea6358652175" targetNamespace="http://schemas.microsoft.com/office/2006/metadata/properties" ma:root="true" ma:fieldsID="a37707a0d4503adef856df5935fb35b5" ns2:_="">
    <xsd:import namespace="bcc271c3-e469-45aa-bc65-ea635865217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271c3-e469-45aa-bc65-ea63586521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DD64E6-2CFB-4B3D-A0D3-E5826AD14BA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E58025-9921-41C7-8EB5-375694D990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0DD734-8755-4F8E-8AE6-37D001AF5D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c271c3-e469-45aa-bc65-ea63586521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统计与分析-APTT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RBPC</dc:creator>
  <cp:lastModifiedBy>Abeer Singh</cp:lastModifiedBy>
  <cp:lastPrinted>2023-04-25T09:17:16Z</cp:lastPrinted>
  <dcterms:created xsi:type="dcterms:W3CDTF">2019-01-28T09:29:55Z</dcterms:created>
  <dcterms:modified xsi:type="dcterms:W3CDTF">2023-12-14T14:47:56Z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0x010100D749D3054A6A3E45A1409D37FBA9A60E</vt:lpwstr>
  </property>
</Properties>
</file>